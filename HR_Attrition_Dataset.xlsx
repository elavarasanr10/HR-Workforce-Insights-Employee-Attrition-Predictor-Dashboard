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_Data" sheetId="1" state="visible" r:id="rId3"/>
    <sheet name="KP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<sst xmlns="http://schemas.openxmlformats.org/spreadsheetml/2006/main" count="1835" uniqueCount="370">
  <si>
    <t xml:space="preserve">Employee ID</t>
  </si>
  <si>
    <t xml:space="preserve">Employee Name</t>
  </si>
  <si>
    <t xml:space="preserve">Age</t>
  </si>
  <si>
    <t xml:space="preserve">Gender</t>
  </si>
  <si>
    <t xml:space="preserve">Department</t>
  </si>
  <si>
    <t xml:space="preserve">Job Role</t>
  </si>
  <si>
    <t xml:space="preserve">Education Level</t>
  </si>
  <si>
    <t xml:space="preserve">Marital Status</t>
  </si>
  <si>
    <t xml:space="preserve">Location</t>
  </si>
  <si>
    <t xml:space="preserve">Joining Date</t>
  </si>
  <si>
    <t xml:space="preserve">Years at Company</t>
  </si>
  <si>
    <t xml:space="preserve">Monthly Income</t>
  </si>
  <si>
    <t xml:space="preserve">Performance Rating</t>
  </si>
  <si>
    <t xml:space="preserve">Training Hours</t>
  </si>
  <si>
    <t xml:space="preserve">Overtime Status</t>
  </si>
  <si>
    <t xml:space="preserve">Work Mode</t>
  </si>
  <si>
    <t xml:space="preserve">Job Satisfaction Score</t>
  </si>
  <si>
    <t xml:space="preserve">Work-Life Balance Score</t>
  </si>
  <si>
    <t xml:space="preserve">Promotion Last 2 Years</t>
  </si>
  <si>
    <t xml:space="preserve">Absenteeism Rate</t>
  </si>
  <si>
    <t xml:space="preserve">Attrition Status</t>
  </si>
  <si>
    <t xml:space="preserve">Attrition Risk Level</t>
  </si>
  <si>
    <t xml:space="preserve">Analysis Date</t>
  </si>
  <si>
    <t xml:space="preserve">EMP2125</t>
  </si>
  <si>
    <t xml:space="preserve">Vivaan Pillai</t>
  </si>
  <si>
    <t xml:space="preserve">Male</t>
  </si>
  <si>
    <t xml:space="preserve">Engineering</t>
  </si>
  <si>
    <t xml:space="preserve">DevOps Engineer</t>
  </si>
  <si>
    <t xml:space="preserve">Master's</t>
  </si>
  <si>
    <t xml:space="preserve">Married</t>
  </si>
  <si>
    <t xml:space="preserve">Kolkata</t>
  </si>
  <si>
    <t xml:space="preserve">Yes</t>
  </si>
  <si>
    <t xml:space="preserve">Remote</t>
  </si>
  <si>
    <t xml:space="preserve">No</t>
  </si>
  <si>
    <t xml:space="preserve">EMP2027</t>
  </si>
  <si>
    <t xml:space="preserve">Ananya Malhotra</t>
  </si>
  <si>
    <t xml:space="preserve">Sales</t>
  </si>
  <si>
    <t xml:space="preserve">Account Manager</t>
  </si>
  <si>
    <t xml:space="preserve">Divorced</t>
  </si>
  <si>
    <t xml:space="preserve">Pune</t>
  </si>
  <si>
    <t xml:space="preserve">Hybrid</t>
  </si>
  <si>
    <t xml:space="preserve">EMP2086</t>
  </si>
  <si>
    <t xml:space="preserve">Aarav Verma</t>
  </si>
  <si>
    <t xml:space="preserve">Female</t>
  </si>
  <si>
    <t xml:space="preserve">Finance</t>
  </si>
  <si>
    <t xml:space="preserve">Finance Manager</t>
  </si>
  <si>
    <t xml:space="preserve">Bachelor's</t>
  </si>
  <si>
    <t xml:space="preserve">Bengaluru</t>
  </si>
  <si>
    <t xml:space="preserve">EMP2144</t>
  </si>
  <si>
    <t xml:space="preserve">Kabir Reddy</t>
  </si>
  <si>
    <t xml:space="preserve">HR</t>
  </si>
  <si>
    <t xml:space="preserve">HR Manager</t>
  </si>
  <si>
    <t xml:space="preserve">Single</t>
  </si>
  <si>
    <t xml:space="preserve">EMP2067</t>
  </si>
  <si>
    <t xml:space="preserve">Tanvi Reddy</t>
  </si>
  <si>
    <t xml:space="preserve">Customer Support</t>
  </si>
  <si>
    <t xml:space="preserve">Support Executive</t>
  </si>
  <si>
    <t xml:space="preserve">EMP2025</t>
  </si>
  <si>
    <t xml:space="preserve">Dev Chauhan</t>
  </si>
  <si>
    <t xml:space="preserve">Financial Analyst</t>
  </si>
  <si>
    <t xml:space="preserve">PhD</t>
  </si>
  <si>
    <t xml:space="preserve">Mumbai</t>
  </si>
  <si>
    <t xml:space="preserve">EMP2117</t>
  </si>
  <si>
    <t xml:space="preserve">Priya Mehta</t>
  </si>
  <si>
    <t xml:space="preserve">Marketing</t>
  </si>
  <si>
    <t xml:space="preserve">Content Specialist</t>
  </si>
  <si>
    <t xml:space="preserve">Ahmedabad</t>
  </si>
  <si>
    <t xml:space="preserve">Office</t>
  </si>
  <si>
    <t xml:space="preserve">EMP2092</t>
  </si>
  <si>
    <t xml:space="preserve">Yash Gupta</t>
  </si>
  <si>
    <t xml:space="preserve">Accountant</t>
  </si>
  <si>
    <t xml:space="preserve">EMP2120</t>
  </si>
  <si>
    <t xml:space="preserve">Vihaan Rao</t>
  </si>
  <si>
    <t xml:space="preserve">Operations</t>
  </si>
  <si>
    <t xml:space="preserve">Operations Executive</t>
  </si>
  <si>
    <t xml:space="preserve">EMP2128</t>
  </si>
  <si>
    <t xml:space="preserve">Aarav Menon</t>
  </si>
  <si>
    <t xml:space="preserve">High School</t>
  </si>
  <si>
    <t xml:space="preserve">EMP2040</t>
  </si>
  <si>
    <t xml:space="preserve">Saanvi Rao</t>
  </si>
  <si>
    <t xml:space="preserve">HR Executive</t>
  </si>
  <si>
    <t xml:space="preserve">Chennai</t>
  </si>
  <si>
    <t xml:space="preserve">EMP2039</t>
  </si>
  <si>
    <t xml:space="preserve">Ishita Sharma</t>
  </si>
  <si>
    <t xml:space="preserve">QA Engineer</t>
  </si>
  <si>
    <t xml:space="preserve">EMP2103</t>
  </si>
  <si>
    <t xml:space="preserve">Arjun Rao</t>
  </si>
  <si>
    <t xml:space="preserve">Talent Acquisition Specialist</t>
  </si>
  <si>
    <t xml:space="preserve">EMP2131</t>
  </si>
  <si>
    <t xml:space="preserve">Saanvi Sharma</t>
  </si>
  <si>
    <t xml:space="preserve">EMP2032</t>
  </si>
  <si>
    <t xml:space="preserve">Ishita Rao</t>
  </si>
  <si>
    <t xml:space="preserve">Operations Manager</t>
  </si>
  <si>
    <t xml:space="preserve">EMP2139</t>
  </si>
  <si>
    <t xml:space="preserve">Ayaan Kulkarni</t>
  </si>
  <si>
    <t xml:space="preserve">EMP2035</t>
  </si>
  <si>
    <t xml:space="preserve">Saanvi Chatterjee</t>
  </si>
  <si>
    <t xml:space="preserve">Delhi</t>
  </si>
  <si>
    <t xml:space="preserve">EMP2101</t>
  </si>
  <si>
    <t xml:space="preserve">Anika Gupta</t>
  </si>
  <si>
    <t xml:space="preserve">Sales Manager</t>
  </si>
  <si>
    <t xml:space="preserve">EMP2076</t>
  </si>
  <si>
    <t xml:space="preserve">Aditya Das</t>
  </si>
  <si>
    <t xml:space="preserve">EMP2026</t>
  </si>
  <si>
    <t xml:space="preserve">Rohan Reddy</t>
  </si>
  <si>
    <t xml:space="preserve">EMP2122</t>
  </si>
  <si>
    <t xml:space="preserve">Kiara Menon</t>
  </si>
  <si>
    <t xml:space="preserve">Customer Success Manager</t>
  </si>
  <si>
    <t xml:space="preserve">EMP2022</t>
  </si>
  <si>
    <t xml:space="preserve">Ishita Gupta</t>
  </si>
  <si>
    <t xml:space="preserve">Senior Engineer</t>
  </si>
  <si>
    <t xml:space="preserve">EMP2102</t>
  </si>
  <si>
    <t xml:space="preserve">Sanya Kapoor</t>
  </si>
  <si>
    <t xml:space="preserve">EMP2070</t>
  </si>
  <si>
    <t xml:space="preserve">Kabir Menon</t>
  </si>
  <si>
    <t xml:space="preserve">Marketing Manager</t>
  </si>
  <si>
    <t xml:space="preserve">Hyderabad</t>
  </si>
  <si>
    <t xml:space="preserve">EMP2119</t>
  </si>
  <si>
    <t xml:space="preserve">Kiara Pillai</t>
  </si>
  <si>
    <t xml:space="preserve">EMP2088</t>
  </si>
  <si>
    <t xml:space="preserve">Sai Iyer</t>
  </si>
  <si>
    <t xml:space="preserve">Support Team Lead</t>
  </si>
  <si>
    <t xml:space="preserve">EMP2071</t>
  </si>
  <si>
    <t xml:space="preserve">Aadhya Reddy</t>
  </si>
  <si>
    <t xml:space="preserve">EMP2011</t>
  </si>
  <si>
    <t xml:space="preserve">Aadhya Iyer</t>
  </si>
  <si>
    <t xml:space="preserve">EMP2037</t>
  </si>
  <si>
    <t xml:space="preserve">Sai Gupta</t>
  </si>
  <si>
    <t xml:space="preserve">EMP2063</t>
  </si>
  <si>
    <t xml:space="preserve">Neha Kulkarni</t>
  </si>
  <si>
    <t xml:space="preserve">EMP2079</t>
  </si>
  <si>
    <t xml:space="preserve">Yash Iyer</t>
  </si>
  <si>
    <t xml:space="preserve">EMP2001</t>
  </si>
  <si>
    <t xml:space="preserve">Kiara Verma</t>
  </si>
  <si>
    <t xml:space="preserve">EMP2023</t>
  </si>
  <si>
    <t xml:space="preserve">Vivaan Menon</t>
  </si>
  <si>
    <t xml:space="preserve">EMP2072</t>
  </si>
  <si>
    <t xml:space="preserve">Zara Nair</t>
  </si>
  <si>
    <t xml:space="preserve">EMP2057</t>
  </si>
  <si>
    <t xml:space="preserve">Farhan Bose</t>
  </si>
  <si>
    <t xml:space="preserve">Marketing Executive</t>
  </si>
  <si>
    <t xml:space="preserve">EMP2097</t>
  </si>
  <si>
    <t xml:space="preserve">Karan Chauhan</t>
  </si>
  <si>
    <t xml:space="preserve">EMP2006</t>
  </si>
  <si>
    <t xml:space="preserve">Dev Verma</t>
  </si>
  <si>
    <t xml:space="preserve">EMP2135</t>
  </si>
  <si>
    <t xml:space="preserve">Vivaan Kapoor</t>
  </si>
  <si>
    <t xml:space="preserve">Logistics Coordinator</t>
  </si>
  <si>
    <t xml:space="preserve">EMP2081</t>
  </si>
  <si>
    <t xml:space="preserve">Isha Verma</t>
  </si>
  <si>
    <t xml:space="preserve">EMP2143</t>
  </si>
  <si>
    <t xml:space="preserve">Aditya Kulkarni</t>
  </si>
  <si>
    <t xml:space="preserve">EMP2146</t>
  </si>
  <si>
    <t xml:space="preserve">EMP2048</t>
  </si>
  <si>
    <t xml:space="preserve">Priya Agarwal</t>
  </si>
  <si>
    <t xml:space="preserve">EMP2036</t>
  </si>
  <si>
    <t xml:space="preserve">Kiara Reddy</t>
  </si>
  <si>
    <t xml:space="preserve">EMP2041</t>
  </si>
  <si>
    <t xml:space="preserve">Saanvi Gupta</t>
  </si>
  <si>
    <t xml:space="preserve">EMP2096</t>
  </si>
  <si>
    <t xml:space="preserve">Zara Das</t>
  </si>
  <si>
    <t xml:space="preserve">EMP2083</t>
  </si>
  <si>
    <t xml:space="preserve">Priya Iyer</t>
  </si>
  <si>
    <t xml:space="preserve">EMP2082</t>
  </si>
  <si>
    <t xml:space="preserve">Sanya Kulkarni</t>
  </si>
  <si>
    <t xml:space="preserve">Sales Executive</t>
  </si>
  <si>
    <t xml:space="preserve">EMP2008</t>
  </si>
  <si>
    <t xml:space="preserve">Nikhil Joshi</t>
  </si>
  <si>
    <t xml:space="preserve">EMP2104</t>
  </si>
  <si>
    <t xml:space="preserve">Vihaan Bhatt</t>
  </si>
  <si>
    <t xml:space="preserve">EMP2142</t>
  </si>
  <si>
    <t xml:space="preserve">Meera Kapoor</t>
  </si>
  <si>
    <t xml:space="preserve">EMP2002</t>
  </si>
  <si>
    <t xml:space="preserve">Pooja Bose</t>
  </si>
  <si>
    <t xml:space="preserve">Software Engineer</t>
  </si>
  <si>
    <t xml:space="preserve">EMP2062</t>
  </si>
  <si>
    <t xml:space="preserve">Diya Agarwal</t>
  </si>
  <si>
    <t xml:space="preserve">EMP2147</t>
  </si>
  <si>
    <t xml:space="preserve">Ananya Iyer</t>
  </si>
  <si>
    <t xml:space="preserve">EMP2030</t>
  </si>
  <si>
    <t xml:space="preserve">Diya Kapoor</t>
  </si>
  <si>
    <t xml:space="preserve">EMP2053</t>
  </si>
  <si>
    <t xml:space="preserve">Diya Iyer</t>
  </si>
  <si>
    <t xml:space="preserve">EMP2134</t>
  </si>
  <si>
    <t xml:space="preserve">Vivaan Chauhan</t>
  </si>
  <si>
    <t xml:space="preserve">EMP2136</t>
  </si>
  <si>
    <t xml:space="preserve">EMP2033</t>
  </si>
  <si>
    <t xml:space="preserve">Yash Kapoor</t>
  </si>
  <si>
    <t xml:space="preserve">EMP2020</t>
  </si>
  <si>
    <t xml:space="preserve">Rohan Pillai</t>
  </si>
  <si>
    <t xml:space="preserve">EMP2061</t>
  </si>
  <si>
    <t xml:space="preserve">Pooja Mehta</t>
  </si>
  <si>
    <t xml:space="preserve">EMP2137</t>
  </si>
  <si>
    <t xml:space="preserve">EMP2110</t>
  </si>
  <si>
    <t xml:space="preserve">Isha Chauhan</t>
  </si>
  <si>
    <t xml:space="preserve">EMP2043</t>
  </si>
  <si>
    <t xml:space="preserve">Rohan Chatterjee</t>
  </si>
  <si>
    <t xml:space="preserve">EMP2013</t>
  </si>
  <si>
    <t xml:space="preserve">Sai Verma</t>
  </si>
  <si>
    <t xml:space="preserve">EMP2004</t>
  </si>
  <si>
    <t xml:space="preserve">Ayaan Gupta</t>
  </si>
  <si>
    <t xml:space="preserve">EMP2005</t>
  </si>
  <si>
    <t xml:space="preserve">Anika Pillai</t>
  </si>
  <si>
    <t xml:space="preserve">EMP2068</t>
  </si>
  <si>
    <t xml:space="preserve">Aadhya Nair</t>
  </si>
  <si>
    <t xml:space="preserve">EMP2038</t>
  </si>
  <si>
    <t xml:space="preserve">Kabir Chatterjee</t>
  </si>
  <si>
    <t xml:space="preserve">EMP2042</t>
  </si>
  <si>
    <t xml:space="preserve">Arjun Agarwal</t>
  </si>
  <si>
    <t xml:space="preserve">EMP2003</t>
  </si>
  <si>
    <t xml:space="preserve">Nikhil Rao</t>
  </si>
  <si>
    <t xml:space="preserve">EMP2089</t>
  </si>
  <si>
    <t xml:space="preserve">EMP2098</t>
  </si>
  <si>
    <t xml:space="preserve">Vihaan Mehta</t>
  </si>
  <si>
    <t xml:space="preserve">EMP2087</t>
  </si>
  <si>
    <t xml:space="preserve">Diya Kulkarni</t>
  </si>
  <si>
    <t xml:space="preserve">EMP2107</t>
  </si>
  <si>
    <t xml:space="preserve">Kiara Kapoor</t>
  </si>
  <si>
    <t xml:space="preserve">EMP2012</t>
  </si>
  <si>
    <t xml:space="preserve">Meera Iyer</t>
  </si>
  <si>
    <t xml:space="preserve">EMP2051</t>
  </si>
  <si>
    <t xml:space="preserve">EMP2069</t>
  </si>
  <si>
    <t xml:space="preserve">Kabir Iyer</t>
  </si>
  <si>
    <t xml:space="preserve">EMP2126</t>
  </si>
  <si>
    <t xml:space="preserve">Rohan Iyer</t>
  </si>
  <si>
    <t xml:space="preserve">EMP2055</t>
  </si>
  <si>
    <t xml:space="preserve">Karan Mehta</t>
  </si>
  <si>
    <t xml:space="preserve">EMP2021</t>
  </si>
  <si>
    <t xml:space="preserve">Ishita Agarwal</t>
  </si>
  <si>
    <t xml:space="preserve">EMP2047</t>
  </si>
  <si>
    <t xml:space="preserve">Ishita Kapoor</t>
  </si>
  <si>
    <t xml:space="preserve">EMP2118</t>
  </si>
  <si>
    <t xml:space="preserve">Neha Mehta</t>
  </si>
  <si>
    <t xml:space="preserve">EMP2029</t>
  </si>
  <si>
    <t xml:space="preserve">Zara Kapoor</t>
  </si>
  <si>
    <t xml:space="preserve">EMP2024</t>
  </si>
  <si>
    <t xml:space="preserve">Kiara Malhotra</t>
  </si>
  <si>
    <t xml:space="preserve">EMP2034</t>
  </si>
  <si>
    <t xml:space="preserve">EMP2054</t>
  </si>
  <si>
    <t xml:space="preserve">Dev Iyer</t>
  </si>
  <si>
    <t xml:space="preserve">EMP2140</t>
  </si>
  <si>
    <t xml:space="preserve">Aditya Verma</t>
  </si>
  <si>
    <t xml:space="preserve">EMP2019</t>
  </si>
  <si>
    <t xml:space="preserve">Aarav Iyer</t>
  </si>
  <si>
    <t xml:space="preserve">EMP2075</t>
  </si>
  <si>
    <t xml:space="preserve">EMP2106</t>
  </si>
  <si>
    <t xml:space="preserve">Sai Bose</t>
  </si>
  <si>
    <t xml:space="preserve">EMP2084</t>
  </si>
  <si>
    <t xml:space="preserve">Arjun Gupta</t>
  </si>
  <si>
    <t xml:space="preserve">EMP2015</t>
  </si>
  <si>
    <t xml:space="preserve">Neha Das</t>
  </si>
  <si>
    <t xml:space="preserve">EMP2056</t>
  </si>
  <si>
    <t xml:space="preserve">Vivaan Iyer</t>
  </si>
  <si>
    <t xml:space="preserve">EMP2058</t>
  </si>
  <si>
    <t xml:space="preserve">Diya Nair</t>
  </si>
  <si>
    <t xml:space="preserve">EMP2085</t>
  </si>
  <si>
    <t xml:space="preserve">Arjun Verma</t>
  </si>
  <si>
    <t xml:space="preserve">EMP2049</t>
  </si>
  <si>
    <t xml:space="preserve">Aditya Reddy</t>
  </si>
  <si>
    <t xml:space="preserve">EMP2064</t>
  </si>
  <si>
    <t xml:space="preserve">Meera Gupta</t>
  </si>
  <si>
    <t xml:space="preserve">EMP2065</t>
  </si>
  <si>
    <t xml:space="preserve">Rahul Nair</t>
  </si>
  <si>
    <t xml:space="preserve">EMP2050</t>
  </si>
  <si>
    <t xml:space="preserve">Zara Bose</t>
  </si>
  <si>
    <t xml:space="preserve">EMP2105</t>
  </si>
  <si>
    <t xml:space="preserve">Sanya Chatterjee</t>
  </si>
  <si>
    <t xml:space="preserve">EMP2108</t>
  </si>
  <si>
    <t xml:space="preserve">Diya Joshi</t>
  </si>
  <si>
    <t xml:space="preserve">EMP2060</t>
  </si>
  <si>
    <t xml:space="preserve">Aditya Mehta</t>
  </si>
  <si>
    <t xml:space="preserve">EMP2095</t>
  </si>
  <si>
    <t xml:space="preserve">Vihaan Chauhan</t>
  </si>
  <si>
    <t xml:space="preserve">EMP2130</t>
  </si>
  <si>
    <t xml:space="preserve">EMP2080</t>
  </si>
  <si>
    <t xml:space="preserve">EMP2059</t>
  </si>
  <si>
    <t xml:space="preserve">Nikhil Kapoor</t>
  </si>
  <si>
    <t xml:space="preserve">EMP2014</t>
  </si>
  <si>
    <t xml:space="preserve">Meera Nair</t>
  </si>
  <si>
    <t xml:space="preserve">EMP2111</t>
  </si>
  <si>
    <t xml:space="preserve">Aarav Gupta</t>
  </si>
  <si>
    <t xml:space="preserve">EMP2109</t>
  </si>
  <si>
    <t xml:space="preserve">Reyansh Agarwal</t>
  </si>
  <si>
    <t xml:space="preserve">EMP2148</t>
  </si>
  <si>
    <t xml:space="preserve">Nikhil Sharma</t>
  </si>
  <si>
    <t xml:space="preserve">EMP2124</t>
  </si>
  <si>
    <t xml:space="preserve">EMP2113</t>
  </si>
  <si>
    <t xml:space="preserve">Karan Nair</t>
  </si>
  <si>
    <t xml:space="preserve">EMP2018</t>
  </si>
  <si>
    <t xml:space="preserve">Zara Sharma</t>
  </si>
  <si>
    <t xml:space="preserve">EMP2016</t>
  </si>
  <si>
    <t xml:space="preserve">EMP2123</t>
  </si>
  <si>
    <t xml:space="preserve">Kabir Joshi</t>
  </si>
  <si>
    <t xml:space="preserve">EMP2010</t>
  </si>
  <si>
    <t xml:space="preserve">Kiara Joshi</t>
  </si>
  <si>
    <t xml:space="preserve">EMP2000</t>
  </si>
  <si>
    <t xml:space="preserve">Ishita Pillai</t>
  </si>
  <si>
    <t xml:space="preserve">EMP2138</t>
  </si>
  <si>
    <t xml:space="preserve">Kiara Chatterjee</t>
  </si>
  <si>
    <t xml:space="preserve">EMP2094</t>
  </si>
  <si>
    <t xml:space="preserve">Zara Chauhan</t>
  </si>
  <si>
    <t xml:space="preserve">EMP2099</t>
  </si>
  <si>
    <t xml:space="preserve">EMP2017</t>
  </si>
  <si>
    <t xml:space="preserve">Priya Menon</t>
  </si>
  <si>
    <t xml:space="preserve">EMP2074</t>
  </si>
  <si>
    <t xml:space="preserve">Isha Gupta</t>
  </si>
  <si>
    <t xml:space="preserve">EMP2007</t>
  </si>
  <si>
    <t xml:space="preserve">Sanya Nair</t>
  </si>
  <si>
    <t xml:space="preserve">EMP2044</t>
  </si>
  <si>
    <t xml:space="preserve">EMP2100</t>
  </si>
  <si>
    <t xml:space="preserve">Nikhil Nair</t>
  </si>
  <si>
    <t xml:space="preserve">EMP2078</t>
  </si>
  <si>
    <t xml:space="preserve">Meera Sharma</t>
  </si>
  <si>
    <t xml:space="preserve">EMP2052</t>
  </si>
  <si>
    <t xml:space="preserve">Tanvi Mehta</t>
  </si>
  <si>
    <t xml:space="preserve">EMP2121</t>
  </si>
  <si>
    <t xml:space="preserve">Sanya Agarwal</t>
  </si>
  <si>
    <t xml:space="preserve">EMP2127</t>
  </si>
  <si>
    <t xml:space="preserve">Pooja Kulkarni</t>
  </si>
  <si>
    <t xml:space="preserve">EMP2149</t>
  </si>
  <si>
    <t xml:space="preserve">Rohan Kulkarni</t>
  </si>
  <si>
    <t xml:space="preserve">EMP2093</t>
  </si>
  <si>
    <t xml:space="preserve">Dev Nair</t>
  </si>
  <si>
    <t xml:space="preserve">EMP2090</t>
  </si>
  <si>
    <t xml:space="preserve">EMP2073</t>
  </si>
  <si>
    <t xml:space="preserve">Karan Das</t>
  </si>
  <si>
    <t xml:space="preserve">EMP2031</t>
  </si>
  <si>
    <t xml:space="preserve">Aarav Bose</t>
  </si>
  <si>
    <t xml:space="preserve">EMP2046</t>
  </si>
  <si>
    <t xml:space="preserve">Karan Pillai</t>
  </si>
  <si>
    <t xml:space="preserve">EMP2145</t>
  </si>
  <si>
    <t xml:space="preserve">EMP2009</t>
  </si>
  <si>
    <t xml:space="preserve">Meera Malhotra</t>
  </si>
  <si>
    <t xml:space="preserve">EMP2132</t>
  </si>
  <si>
    <t xml:space="preserve">Kabir Bose</t>
  </si>
  <si>
    <t xml:space="preserve">EMP2141</t>
  </si>
  <si>
    <t xml:space="preserve">Meera Joshi</t>
  </si>
  <si>
    <t xml:space="preserve">EMP2115</t>
  </si>
  <si>
    <t xml:space="preserve">Saanvi Bose</t>
  </si>
  <si>
    <t xml:space="preserve">EMP2077</t>
  </si>
  <si>
    <t xml:space="preserve">Nikhil Bose</t>
  </si>
  <si>
    <t xml:space="preserve">EMP2133</t>
  </si>
  <si>
    <t xml:space="preserve">Yash Nair</t>
  </si>
  <si>
    <t xml:space="preserve">EMP2114</t>
  </si>
  <si>
    <t xml:space="preserve">Ayaan Chatterjee</t>
  </si>
  <si>
    <t xml:space="preserve">EMP2028</t>
  </si>
  <si>
    <t xml:space="preserve">EMP2045</t>
  </si>
  <si>
    <t xml:space="preserve">Ayaan Rao</t>
  </si>
  <si>
    <t xml:space="preserve">EMP2129</t>
  </si>
  <si>
    <t xml:space="preserve">Dev Kapoor</t>
  </si>
  <si>
    <t xml:space="preserve">EMP2066</t>
  </si>
  <si>
    <t xml:space="preserve">Tanvi Kapoor</t>
  </si>
  <si>
    <t xml:space="preserve">EMP2091</t>
  </si>
  <si>
    <t xml:space="preserve">Kiara Bhatt</t>
  </si>
  <si>
    <t xml:space="preserve">EMP2116</t>
  </si>
  <si>
    <t xml:space="preserve">Neha Iyer</t>
  </si>
  <si>
    <t xml:space="preserve">EMP2112</t>
  </si>
  <si>
    <t xml:space="preserve">Zara Verma</t>
  </si>
  <si>
    <t xml:space="preserve">Metric</t>
  </si>
  <si>
    <t xml:space="preserve">Value</t>
  </si>
  <si>
    <t xml:space="preserve">Total Employees</t>
  </si>
  <si>
    <t xml:space="preserve">Attrition Count</t>
  </si>
  <si>
    <t xml:space="preserve">Attrition Rate %</t>
  </si>
  <si>
    <t xml:space="preserve">Average Monthly Income</t>
  </si>
  <si>
    <t xml:space="preserve">Average Job Satisfaction Score</t>
  </si>
  <si>
    <t xml:space="preserve">Average Work-Life Balance Score</t>
  </si>
  <si>
    <t xml:space="preserve">Overtime Employee Count</t>
  </si>
  <si>
    <t xml:space="preserve">High Attrition Risk Employees Count</t>
  </si>
  <si>
    <t xml:space="preserve">Average Tenure (Years at Company)</t>
  </si>
  <si>
    <t xml:space="preserve">Average Absenteeism 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</si>
</sst>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"/>
    <numFmt numFmtId="167" formatCode="0.00"/>
    <numFmt numFmtId="168" formatCode="#,##0"/>
    <numFmt numFmtId="169" formatCode="0.0%"/>
    <numFmt numFmtId="170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6" min="3" style="0" width="14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24"/>
    <col collapsed="false" customWidth="true" hidden="false" outlineLevel="0" max="18" min="18" style="0" width="25"/>
    <col collapsed="false" customWidth="true" hidden="false" outlineLevel="0" max="19" min="19" style="0" width="24"/>
    <col collapsed="false" customWidth="true" hidden="false" outlineLevel="0" max="21" min="20" style="0" width="18"/>
    <col collapsed="false" customWidth="true" hidden="false" outlineLevel="0" max="22" min="22" style="0" width="22"/>
    <col collapsed="false" customWidth="true" hidden="false" outlineLevel="0" max="24" min="24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2" t="s">
        <v>22</v>
      </c>
    </row>
    <row r="2" customFormat="false" ht="15" hidden="false" customHeight="false" outlineLevel="0" collapsed="false">
      <c r="A2" s="3" t="s">
        <v>23</v>
      </c>
      <c r="B2" s="3" t="s">
        <v>24</v>
      </c>
      <c r="C2" s="3" t="n">
        <v>47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4" t="n">
        <v>43113</v>
      </c>
      <c r="K2" s="3" t="n">
        <f aca="false">ROUND(($X$2-J2)/365,1)</f>
        <v>8</v>
      </c>
      <c r="L2" s="5" t="n">
        <v>78616.74</v>
      </c>
      <c r="M2" s="3" t="n">
        <v>3</v>
      </c>
      <c r="N2" s="3" t="n">
        <v>58</v>
      </c>
      <c r="O2" s="3" t="s">
        <v>31</v>
      </c>
      <c r="P2" s="3" t="s">
        <v>32</v>
      </c>
      <c r="Q2" s="3" t="n">
        <v>9</v>
      </c>
      <c r="R2" s="3" t="n">
        <v>6</v>
      </c>
      <c r="S2" s="3" t="s">
        <v>31</v>
      </c>
      <c r="T2" s="6" t="n">
        <v>5.59</v>
      </c>
      <c r="U2" s="3" t="s">
        <v>33</v>
      </c>
      <c r="V2" s="3" t="str">
        <f aca="false">IF((10-Q2)+(10-R2)+IF(O2="Yes",3,0)+IF(S2="No",2,0)&gt;=14,"High",IF((10-Q2)+(10-R2)+IF(O2="Yes",3,0)+IF(S2="No",2,0)&gt;=8,"Medium","Low"))</f>
        <v>Medium</v>
      </c>
      <c r="X2" s="7" t="n">
        <v>46023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n">
        <v>53</v>
      </c>
      <c r="D3" s="3" t="s">
        <v>25</v>
      </c>
      <c r="E3" s="3" t="s">
        <v>36</v>
      </c>
      <c r="F3" s="3" t="s">
        <v>37</v>
      </c>
      <c r="G3" s="3" t="s">
        <v>28</v>
      </c>
      <c r="H3" s="3" t="s">
        <v>38</v>
      </c>
      <c r="I3" s="3" t="s">
        <v>39</v>
      </c>
      <c r="J3" s="4" t="n">
        <v>43138</v>
      </c>
      <c r="K3" s="3" t="n">
        <f aca="false">ROUND(($X$2-J3)/365,1)</f>
        <v>7.9</v>
      </c>
      <c r="L3" s="5" t="n">
        <v>58341.28</v>
      </c>
      <c r="M3" s="3" t="n">
        <v>2</v>
      </c>
      <c r="N3" s="3" t="n">
        <v>18</v>
      </c>
      <c r="O3" s="3" t="s">
        <v>31</v>
      </c>
      <c r="P3" s="3" t="s">
        <v>40</v>
      </c>
      <c r="Q3" s="3" t="n">
        <v>7</v>
      </c>
      <c r="R3" s="3" t="n">
        <v>1</v>
      </c>
      <c r="S3" s="3" t="s">
        <v>31</v>
      </c>
      <c r="T3" s="6" t="n">
        <v>11.34</v>
      </c>
      <c r="U3" s="3" t="s">
        <v>33</v>
      </c>
      <c r="V3" s="3" t="str">
        <f aca="false">IF((10-Q3)+(10-R3)+IF(O3="Yes",3,0)+IF(S3="No",2,0)&gt;=14,"High",IF((10-Q3)+(10-R3)+IF(O3="Yes",3,0)+IF(S3="No",2,0)&gt;=8,"Medium","Low"))</f>
        <v>High</v>
      </c>
    </row>
    <row r="4" customFormat="false" ht="15" hidden="false" customHeight="false" outlineLevel="0" collapsed="false">
      <c r="A4" s="3" t="s">
        <v>41</v>
      </c>
      <c r="B4" s="3" t="s">
        <v>42</v>
      </c>
      <c r="C4" s="3" t="n">
        <v>49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29</v>
      </c>
      <c r="I4" s="3" t="s">
        <v>47</v>
      </c>
      <c r="J4" s="4" t="n">
        <v>43151</v>
      </c>
      <c r="K4" s="3" t="n">
        <f aca="false">ROUND(($X$2-J4)/365,1)</f>
        <v>7.9</v>
      </c>
      <c r="L4" s="5" t="n">
        <v>97864.63</v>
      </c>
      <c r="M4" s="3" t="n">
        <v>5</v>
      </c>
      <c r="N4" s="3" t="n">
        <v>29</v>
      </c>
      <c r="O4" s="3" t="s">
        <v>31</v>
      </c>
      <c r="P4" s="3" t="s">
        <v>40</v>
      </c>
      <c r="Q4" s="3" t="n">
        <v>9</v>
      </c>
      <c r="R4" s="3" t="n">
        <v>8</v>
      </c>
      <c r="S4" s="3" t="s">
        <v>33</v>
      </c>
      <c r="T4" s="6" t="n">
        <v>13.58</v>
      </c>
      <c r="U4" s="3" t="s">
        <v>33</v>
      </c>
      <c r="V4" s="3" t="str">
        <f aca="false">IF((10-Q4)+(10-R4)+IF(O4="Yes",3,0)+IF(S4="No",2,0)&gt;=14,"High",IF((10-Q4)+(10-R4)+IF(O4="Yes",3,0)+IF(S4="No",2,0)&gt;=8,"Medium","Low"))</f>
        <v>Medium</v>
      </c>
    </row>
    <row r="5" customFormat="false" ht="15" hidden="false" customHeight="false" outlineLevel="0" collapsed="false">
      <c r="A5" s="3" t="s">
        <v>48</v>
      </c>
      <c r="B5" s="3" t="s">
        <v>49</v>
      </c>
      <c r="C5" s="3" t="n">
        <v>36</v>
      </c>
      <c r="D5" s="3" t="s">
        <v>43</v>
      </c>
      <c r="E5" s="3" t="s">
        <v>50</v>
      </c>
      <c r="F5" s="3" t="s">
        <v>51</v>
      </c>
      <c r="G5" s="3" t="s">
        <v>28</v>
      </c>
      <c r="H5" s="3" t="s">
        <v>52</v>
      </c>
      <c r="I5" s="3" t="s">
        <v>39</v>
      </c>
      <c r="J5" s="4" t="n">
        <v>43151</v>
      </c>
      <c r="K5" s="3" t="n">
        <f aca="false">ROUND(($X$2-J5)/365,1)</f>
        <v>7.9</v>
      </c>
      <c r="L5" s="5" t="n">
        <v>154562.4</v>
      </c>
      <c r="M5" s="3" t="n">
        <v>1</v>
      </c>
      <c r="N5" s="3" t="n">
        <v>0</v>
      </c>
      <c r="O5" s="3" t="s">
        <v>33</v>
      </c>
      <c r="P5" s="3" t="s">
        <v>40</v>
      </c>
      <c r="Q5" s="3" t="n">
        <v>3</v>
      </c>
      <c r="R5" s="3" t="n">
        <v>8</v>
      </c>
      <c r="S5" s="3" t="s">
        <v>31</v>
      </c>
      <c r="T5" s="6" t="n">
        <v>13.13</v>
      </c>
      <c r="U5" s="3" t="s">
        <v>33</v>
      </c>
      <c r="V5" s="3" t="str">
        <f aca="false">IF((10-Q5)+(10-R5)+IF(O5="Yes",3,0)+IF(S5="No",2,0)&gt;=14,"High",IF((10-Q5)+(10-R5)+IF(O5="Yes",3,0)+IF(S5="No",2,0)&gt;=8,"Medium","Low"))</f>
        <v>Medium</v>
      </c>
    </row>
    <row r="6" customFormat="false" ht="15" hidden="false" customHeight="false" outlineLevel="0" collapsed="false">
      <c r="A6" s="3" t="s">
        <v>53</v>
      </c>
      <c r="B6" s="3" t="s">
        <v>54</v>
      </c>
      <c r="C6" s="3" t="n">
        <v>45</v>
      </c>
      <c r="D6" s="3" t="s">
        <v>25</v>
      </c>
      <c r="E6" s="3" t="s">
        <v>55</v>
      </c>
      <c r="F6" s="3" t="s">
        <v>56</v>
      </c>
      <c r="G6" s="3" t="s">
        <v>28</v>
      </c>
      <c r="H6" s="3" t="s">
        <v>38</v>
      </c>
      <c r="I6" s="3" t="s">
        <v>30</v>
      </c>
      <c r="J6" s="4" t="n">
        <v>43168</v>
      </c>
      <c r="K6" s="3" t="n">
        <f aca="false">ROUND(($X$2-J6)/365,1)</f>
        <v>7.8</v>
      </c>
      <c r="L6" s="5" t="n">
        <v>163968.12</v>
      </c>
      <c r="M6" s="3" t="n">
        <v>2</v>
      </c>
      <c r="N6" s="3" t="n">
        <v>51</v>
      </c>
      <c r="O6" s="3" t="s">
        <v>33</v>
      </c>
      <c r="P6" s="3" t="s">
        <v>40</v>
      </c>
      <c r="Q6" s="3" t="n">
        <v>2</v>
      </c>
      <c r="R6" s="3" t="n">
        <v>8</v>
      </c>
      <c r="S6" s="3" t="s">
        <v>33</v>
      </c>
      <c r="T6" s="6" t="n">
        <v>1.54</v>
      </c>
      <c r="U6" s="3" t="s">
        <v>31</v>
      </c>
      <c r="V6" s="3" t="str">
        <f aca="false">IF((10-Q6)+(10-R6)+IF(O6="Yes",3,0)+IF(S6="No",2,0)&gt;=14,"High",IF((10-Q6)+(10-R6)+IF(O6="Yes",3,0)+IF(S6="No",2,0)&gt;=8,"Medium","Low"))</f>
        <v>Medium</v>
      </c>
    </row>
    <row r="7" customFormat="false" ht="15" hidden="false" customHeight="false" outlineLevel="0" collapsed="false">
      <c r="A7" s="3" t="s">
        <v>57</v>
      </c>
      <c r="B7" s="3" t="s">
        <v>58</v>
      </c>
      <c r="C7" s="3" t="n">
        <v>51</v>
      </c>
      <c r="D7" s="3" t="s">
        <v>25</v>
      </c>
      <c r="E7" s="3" t="s">
        <v>44</v>
      </c>
      <c r="F7" s="3" t="s">
        <v>59</v>
      </c>
      <c r="G7" s="3" t="s">
        <v>60</v>
      </c>
      <c r="H7" s="3" t="s">
        <v>38</v>
      </c>
      <c r="I7" s="3" t="s">
        <v>61</v>
      </c>
      <c r="J7" s="4" t="n">
        <v>43211</v>
      </c>
      <c r="K7" s="3" t="n">
        <f aca="false">ROUND(($X$2-J7)/365,1)</f>
        <v>7.7</v>
      </c>
      <c r="L7" s="5" t="n">
        <v>86156.48</v>
      </c>
      <c r="M7" s="3" t="n">
        <v>2</v>
      </c>
      <c r="N7" s="3" t="n">
        <v>31</v>
      </c>
      <c r="O7" s="3" t="s">
        <v>33</v>
      </c>
      <c r="P7" s="3" t="s">
        <v>40</v>
      </c>
      <c r="Q7" s="3" t="n">
        <v>6</v>
      </c>
      <c r="R7" s="3" t="n">
        <v>7</v>
      </c>
      <c r="S7" s="3" t="s">
        <v>33</v>
      </c>
      <c r="T7" s="6" t="n">
        <v>8.98</v>
      </c>
      <c r="U7" s="3" t="s">
        <v>33</v>
      </c>
      <c r="V7" s="3" t="str">
        <f aca="false">IF((10-Q7)+(10-R7)+IF(O7="Yes",3,0)+IF(S7="No",2,0)&gt;=14,"High",IF((10-Q7)+(10-R7)+IF(O7="Yes",3,0)+IF(S7="No",2,0)&gt;=8,"Medium","Low"))</f>
        <v>Medium</v>
      </c>
    </row>
    <row r="8" customFormat="false" ht="15" hidden="false" customHeight="false" outlineLevel="0" collapsed="false">
      <c r="A8" s="3" t="s">
        <v>62</v>
      </c>
      <c r="B8" s="3" t="s">
        <v>63</v>
      </c>
      <c r="C8" s="3" t="n">
        <v>45</v>
      </c>
      <c r="D8" s="3" t="s">
        <v>43</v>
      </c>
      <c r="E8" s="3" t="s">
        <v>64</v>
      </c>
      <c r="F8" s="3" t="s">
        <v>65</v>
      </c>
      <c r="G8" s="3" t="s">
        <v>28</v>
      </c>
      <c r="H8" s="3" t="s">
        <v>52</v>
      </c>
      <c r="I8" s="3" t="s">
        <v>66</v>
      </c>
      <c r="J8" s="4" t="n">
        <v>43236</v>
      </c>
      <c r="K8" s="3" t="n">
        <f aca="false">ROUND(($X$2-J8)/365,1)</f>
        <v>7.6</v>
      </c>
      <c r="L8" s="5" t="n">
        <v>71166.04</v>
      </c>
      <c r="M8" s="3" t="n">
        <v>4</v>
      </c>
      <c r="N8" s="3" t="n">
        <v>22</v>
      </c>
      <c r="O8" s="3" t="s">
        <v>31</v>
      </c>
      <c r="P8" s="3" t="s">
        <v>67</v>
      </c>
      <c r="Q8" s="3" t="n">
        <v>5</v>
      </c>
      <c r="R8" s="3" t="n">
        <v>8</v>
      </c>
      <c r="S8" s="3" t="s">
        <v>33</v>
      </c>
      <c r="T8" s="6" t="n">
        <v>13.59</v>
      </c>
      <c r="U8" s="3" t="s">
        <v>31</v>
      </c>
      <c r="V8" s="3" t="str">
        <f aca="false">IF((10-Q8)+(10-R8)+IF(O8="Yes",3,0)+IF(S8="No",2,0)&gt;=14,"High",IF((10-Q8)+(10-R8)+IF(O8="Yes",3,0)+IF(S8="No",2,0)&gt;=8,"Medium","Low"))</f>
        <v>Medium</v>
      </c>
    </row>
    <row r="9" customFormat="false" ht="15" hidden="false" customHeight="false" outlineLevel="0" collapsed="false">
      <c r="A9" s="3" t="s">
        <v>68</v>
      </c>
      <c r="B9" s="3" t="s">
        <v>69</v>
      </c>
      <c r="C9" s="3" t="n">
        <v>31</v>
      </c>
      <c r="D9" s="3" t="s">
        <v>25</v>
      </c>
      <c r="E9" s="3" t="s">
        <v>44</v>
      </c>
      <c r="F9" s="3" t="s">
        <v>70</v>
      </c>
      <c r="G9" s="3" t="s">
        <v>46</v>
      </c>
      <c r="H9" s="3" t="s">
        <v>29</v>
      </c>
      <c r="I9" s="3" t="s">
        <v>30</v>
      </c>
      <c r="J9" s="4" t="n">
        <v>43249</v>
      </c>
      <c r="K9" s="3" t="n">
        <f aca="false">ROUND(($X$2-J9)/365,1)</f>
        <v>7.6</v>
      </c>
      <c r="L9" s="5" t="n">
        <v>166074.85</v>
      </c>
      <c r="M9" s="3" t="n">
        <v>2</v>
      </c>
      <c r="N9" s="3" t="n">
        <v>35</v>
      </c>
      <c r="O9" s="3" t="s">
        <v>31</v>
      </c>
      <c r="P9" s="3" t="s">
        <v>32</v>
      </c>
      <c r="Q9" s="3" t="n">
        <v>6</v>
      </c>
      <c r="R9" s="3" t="n">
        <v>7</v>
      </c>
      <c r="S9" s="3" t="s">
        <v>33</v>
      </c>
      <c r="T9" s="6" t="n">
        <v>4.12</v>
      </c>
      <c r="U9" s="3" t="s">
        <v>33</v>
      </c>
      <c r="V9" s="3" t="str">
        <f aca="false">IF((10-Q9)+(10-R9)+IF(O9="Yes",3,0)+IF(S9="No",2,0)&gt;=14,"High",IF((10-Q9)+(10-R9)+IF(O9="Yes",3,0)+IF(S9="No",2,0)&gt;=8,"Medium","Low"))</f>
        <v>Medium</v>
      </c>
    </row>
    <row r="10" customFormat="false" ht="15" hidden="false" customHeight="false" outlineLevel="0" collapsed="false">
      <c r="A10" s="3" t="s">
        <v>71</v>
      </c>
      <c r="B10" s="3" t="s">
        <v>72</v>
      </c>
      <c r="C10" s="3" t="n">
        <v>58</v>
      </c>
      <c r="D10" s="3" t="s">
        <v>43</v>
      </c>
      <c r="E10" s="3" t="s">
        <v>73</v>
      </c>
      <c r="F10" s="3" t="s">
        <v>74</v>
      </c>
      <c r="G10" s="3" t="s">
        <v>28</v>
      </c>
      <c r="H10" s="3" t="s">
        <v>52</v>
      </c>
      <c r="I10" s="3" t="s">
        <v>30</v>
      </c>
      <c r="J10" s="4" t="n">
        <v>43255</v>
      </c>
      <c r="K10" s="3" t="n">
        <f aca="false">ROUND(($X$2-J10)/365,1)</f>
        <v>7.6</v>
      </c>
      <c r="L10" s="5" t="n">
        <v>38347.76</v>
      </c>
      <c r="M10" s="3" t="n">
        <v>5</v>
      </c>
      <c r="N10" s="3" t="n">
        <v>22</v>
      </c>
      <c r="O10" s="3" t="s">
        <v>31</v>
      </c>
      <c r="P10" s="3" t="s">
        <v>67</v>
      </c>
      <c r="Q10" s="3" t="n">
        <v>9</v>
      </c>
      <c r="R10" s="3" t="n">
        <v>9</v>
      </c>
      <c r="S10" s="3" t="s">
        <v>31</v>
      </c>
      <c r="T10" s="6" t="n">
        <v>9.98</v>
      </c>
      <c r="U10" s="3" t="s">
        <v>31</v>
      </c>
      <c r="V10" s="3" t="str">
        <f aca="false">IF((10-Q10)+(10-R10)+IF(O10="Yes",3,0)+IF(S10="No",2,0)&gt;=14,"High",IF((10-Q10)+(10-R10)+IF(O10="Yes",3,0)+IF(S10="No",2,0)&gt;=8,"Medium","Low"))</f>
        <v>Low</v>
      </c>
    </row>
    <row r="11" customFormat="false" ht="15" hidden="false" customHeight="false" outlineLevel="0" collapsed="false">
      <c r="A11" s="3" t="s">
        <v>75</v>
      </c>
      <c r="B11" s="3" t="s">
        <v>76</v>
      </c>
      <c r="C11" s="3" t="n">
        <v>53</v>
      </c>
      <c r="D11" s="3" t="s">
        <v>25</v>
      </c>
      <c r="E11" s="3" t="s">
        <v>36</v>
      </c>
      <c r="F11" s="3" t="s">
        <v>37</v>
      </c>
      <c r="G11" s="3" t="s">
        <v>77</v>
      </c>
      <c r="H11" s="3" t="s">
        <v>29</v>
      </c>
      <c r="I11" s="3" t="s">
        <v>61</v>
      </c>
      <c r="J11" s="4" t="n">
        <v>43263</v>
      </c>
      <c r="K11" s="3" t="n">
        <f aca="false">ROUND(($X$2-J11)/365,1)</f>
        <v>7.6</v>
      </c>
      <c r="L11" s="5" t="n">
        <v>40238.15</v>
      </c>
      <c r="M11" s="3" t="n">
        <v>5</v>
      </c>
      <c r="N11" s="3" t="n">
        <v>43</v>
      </c>
      <c r="O11" s="3" t="s">
        <v>33</v>
      </c>
      <c r="P11" s="3" t="s">
        <v>40</v>
      </c>
      <c r="Q11" s="3" t="n">
        <v>1</v>
      </c>
      <c r="R11" s="3" t="n">
        <v>7</v>
      </c>
      <c r="S11" s="3" t="s">
        <v>31</v>
      </c>
      <c r="T11" s="6" t="n">
        <v>2.64</v>
      </c>
      <c r="U11" s="3" t="s">
        <v>33</v>
      </c>
      <c r="V11" s="3" t="str">
        <f aca="false">IF((10-Q11)+(10-R11)+IF(O11="Yes",3,0)+IF(S11="No",2,0)&gt;=14,"High",IF((10-Q11)+(10-R11)+IF(O11="Yes",3,0)+IF(S11="No",2,0)&gt;=8,"Medium","Low"))</f>
        <v>Medium</v>
      </c>
    </row>
    <row r="12" customFormat="false" ht="15" hidden="false" customHeight="false" outlineLevel="0" collapsed="false">
      <c r="A12" s="3" t="s">
        <v>78</v>
      </c>
      <c r="B12" s="3" t="s">
        <v>79</v>
      </c>
      <c r="C12" s="3" t="n">
        <v>48</v>
      </c>
      <c r="D12" s="3" t="s">
        <v>43</v>
      </c>
      <c r="E12" s="3" t="s">
        <v>50</v>
      </c>
      <c r="F12" s="3" t="s">
        <v>80</v>
      </c>
      <c r="G12" s="3" t="s">
        <v>60</v>
      </c>
      <c r="H12" s="3" t="s">
        <v>29</v>
      </c>
      <c r="I12" s="3" t="s">
        <v>81</v>
      </c>
      <c r="J12" s="4" t="n">
        <v>43269</v>
      </c>
      <c r="K12" s="3" t="n">
        <f aca="false">ROUND(($X$2-J12)/365,1)</f>
        <v>7.5</v>
      </c>
      <c r="L12" s="5" t="n">
        <v>66321.91</v>
      </c>
      <c r="M12" s="3" t="n">
        <v>3</v>
      </c>
      <c r="N12" s="3" t="n">
        <v>14</v>
      </c>
      <c r="O12" s="3" t="s">
        <v>33</v>
      </c>
      <c r="P12" s="3" t="s">
        <v>40</v>
      </c>
      <c r="Q12" s="3" t="n">
        <v>4</v>
      </c>
      <c r="R12" s="3" t="n">
        <v>2</v>
      </c>
      <c r="S12" s="3" t="s">
        <v>33</v>
      </c>
      <c r="T12" s="6" t="n">
        <v>6.91</v>
      </c>
      <c r="U12" s="3" t="s">
        <v>33</v>
      </c>
      <c r="V12" s="3" t="str">
        <f aca="false">IF((10-Q12)+(10-R12)+IF(O12="Yes",3,0)+IF(S12="No",2,0)&gt;=14,"High",IF((10-Q12)+(10-R12)+IF(O12="Yes",3,0)+IF(S12="No",2,0)&gt;=8,"Medium","Low"))</f>
        <v>High</v>
      </c>
    </row>
    <row r="13" customFormat="false" ht="15" hidden="false" customHeight="false" outlineLevel="0" collapsed="false">
      <c r="A13" s="3" t="s">
        <v>82</v>
      </c>
      <c r="B13" s="3" t="s">
        <v>83</v>
      </c>
      <c r="C13" s="3" t="n">
        <v>43</v>
      </c>
      <c r="D13" s="3" t="s">
        <v>25</v>
      </c>
      <c r="E13" s="3" t="s">
        <v>26</v>
      </c>
      <c r="F13" s="3" t="s">
        <v>84</v>
      </c>
      <c r="G13" s="3" t="s">
        <v>46</v>
      </c>
      <c r="H13" s="3" t="s">
        <v>38</v>
      </c>
      <c r="I13" s="3" t="s">
        <v>61</v>
      </c>
      <c r="J13" s="4" t="n">
        <v>43273</v>
      </c>
      <c r="K13" s="3" t="n">
        <f aca="false">ROUND(($X$2-J13)/365,1)</f>
        <v>7.5</v>
      </c>
      <c r="L13" s="5" t="n">
        <v>154091.77</v>
      </c>
      <c r="M13" s="3" t="n">
        <v>2</v>
      </c>
      <c r="N13" s="3" t="n">
        <v>20</v>
      </c>
      <c r="O13" s="3" t="s">
        <v>31</v>
      </c>
      <c r="P13" s="3" t="s">
        <v>67</v>
      </c>
      <c r="Q13" s="3" t="n">
        <v>6</v>
      </c>
      <c r="R13" s="3" t="n">
        <v>10</v>
      </c>
      <c r="S13" s="3" t="s">
        <v>31</v>
      </c>
      <c r="T13" s="6" t="n">
        <v>9.11</v>
      </c>
      <c r="U13" s="3" t="s">
        <v>31</v>
      </c>
      <c r="V13" s="3" t="str">
        <f aca="false">IF((10-Q13)+(10-R13)+IF(O13="Yes",3,0)+IF(S13="No",2,0)&gt;=14,"High",IF((10-Q13)+(10-R13)+IF(O13="Yes",3,0)+IF(S13="No",2,0)&gt;=8,"Medium","Low"))</f>
        <v>Low</v>
      </c>
    </row>
    <row r="14" customFormat="false" ht="15" hidden="false" customHeight="false" outlineLevel="0" collapsed="false">
      <c r="A14" s="3" t="s">
        <v>85</v>
      </c>
      <c r="B14" s="3" t="s">
        <v>86</v>
      </c>
      <c r="C14" s="3" t="n">
        <v>27</v>
      </c>
      <c r="D14" s="3" t="s">
        <v>43</v>
      </c>
      <c r="E14" s="3" t="s">
        <v>50</v>
      </c>
      <c r="F14" s="3" t="s">
        <v>87</v>
      </c>
      <c r="G14" s="3" t="s">
        <v>28</v>
      </c>
      <c r="H14" s="3" t="s">
        <v>29</v>
      </c>
      <c r="I14" s="3" t="s">
        <v>61</v>
      </c>
      <c r="J14" s="4" t="n">
        <v>43281</v>
      </c>
      <c r="K14" s="3" t="n">
        <f aca="false">ROUND(($X$2-J14)/365,1)</f>
        <v>7.5</v>
      </c>
      <c r="L14" s="5" t="n">
        <v>44317.31</v>
      </c>
      <c r="M14" s="3" t="n">
        <v>3</v>
      </c>
      <c r="N14" s="3" t="n">
        <v>17</v>
      </c>
      <c r="O14" s="3" t="s">
        <v>31</v>
      </c>
      <c r="P14" s="3" t="s">
        <v>67</v>
      </c>
      <c r="Q14" s="3" t="n">
        <v>8</v>
      </c>
      <c r="R14" s="3" t="n">
        <v>5</v>
      </c>
      <c r="S14" s="3" t="s">
        <v>31</v>
      </c>
      <c r="T14" s="6" t="n">
        <v>3.17</v>
      </c>
      <c r="U14" s="3" t="s">
        <v>33</v>
      </c>
      <c r="V14" s="3" t="str">
        <f aca="false">IF((10-Q14)+(10-R14)+IF(O14="Yes",3,0)+IF(S14="No",2,0)&gt;=14,"High",IF((10-Q14)+(10-R14)+IF(O14="Yes",3,0)+IF(S14="No",2,0)&gt;=8,"Medium","Low"))</f>
        <v>Medium</v>
      </c>
    </row>
    <row r="15" customFormat="false" ht="15" hidden="false" customHeight="false" outlineLevel="0" collapsed="false">
      <c r="A15" s="3" t="s">
        <v>88</v>
      </c>
      <c r="B15" s="3" t="s">
        <v>89</v>
      </c>
      <c r="C15" s="3" t="n">
        <v>34</v>
      </c>
      <c r="D15" s="3" t="s">
        <v>43</v>
      </c>
      <c r="E15" s="3" t="s">
        <v>26</v>
      </c>
      <c r="F15" s="3" t="s">
        <v>27</v>
      </c>
      <c r="G15" s="3" t="s">
        <v>46</v>
      </c>
      <c r="H15" s="3" t="s">
        <v>38</v>
      </c>
      <c r="I15" s="3" t="s">
        <v>66</v>
      </c>
      <c r="J15" s="4" t="n">
        <v>43307</v>
      </c>
      <c r="K15" s="3" t="n">
        <f aca="false">ROUND(($X$2-J15)/365,1)</f>
        <v>7.4</v>
      </c>
      <c r="L15" s="5" t="n">
        <v>41225.75</v>
      </c>
      <c r="M15" s="3" t="n">
        <v>4</v>
      </c>
      <c r="N15" s="3" t="n">
        <v>27</v>
      </c>
      <c r="O15" s="3" t="s">
        <v>31</v>
      </c>
      <c r="P15" s="3" t="s">
        <v>32</v>
      </c>
      <c r="Q15" s="3" t="n">
        <v>1</v>
      </c>
      <c r="R15" s="3" t="n">
        <v>4</v>
      </c>
      <c r="S15" s="3" t="s">
        <v>31</v>
      </c>
      <c r="T15" s="6" t="n">
        <v>13.48</v>
      </c>
      <c r="U15" s="3" t="s">
        <v>31</v>
      </c>
      <c r="V15" s="3" t="str">
        <f aca="false">IF((10-Q15)+(10-R15)+IF(O15="Yes",3,0)+IF(S15="No",2,0)&gt;=14,"High",IF((10-Q15)+(10-R15)+IF(O15="Yes",3,0)+IF(S15="No",2,0)&gt;=8,"Medium","Low"))</f>
        <v>High</v>
      </c>
    </row>
    <row r="16" customFormat="false" ht="15" hidden="false" customHeight="false" outlineLevel="0" collapsed="false">
      <c r="A16" s="3" t="s">
        <v>90</v>
      </c>
      <c r="B16" s="3" t="s">
        <v>91</v>
      </c>
      <c r="C16" s="3" t="n">
        <v>43</v>
      </c>
      <c r="D16" s="3" t="s">
        <v>43</v>
      </c>
      <c r="E16" s="3" t="s">
        <v>73</v>
      </c>
      <c r="F16" s="3" t="s">
        <v>92</v>
      </c>
      <c r="G16" s="3" t="s">
        <v>28</v>
      </c>
      <c r="H16" s="3" t="s">
        <v>29</v>
      </c>
      <c r="I16" s="3" t="s">
        <v>81</v>
      </c>
      <c r="J16" s="4" t="n">
        <v>43319</v>
      </c>
      <c r="K16" s="3" t="n">
        <f aca="false">ROUND(($X$2-J16)/365,1)</f>
        <v>7.4</v>
      </c>
      <c r="L16" s="5" t="n">
        <v>46124.08</v>
      </c>
      <c r="M16" s="3" t="n">
        <v>5</v>
      </c>
      <c r="N16" s="3" t="n">
        <v>5</v>
      </c>
      <c r="O16" s="3" t="s">
        <v>33</v>
      </c>
      <c r="P16" s="3" t="s">
        <v>40</v>
      </c>
      <c r="Q16" s="3" t="n">
        <v>3</v>
      </c>
      <c r="R16" s="3" t="n">
        <v>3</v>
      </c>
      <c r="S16" s="3" t="s">
        <v>33</v>
      </c>
      <c r="T16" s="6" t="n">
        <v>4.63</v>
      </c>
      <c r="U16" s="3" t="s">
        <v>31</v>
      </c>
      <c r="V16" s="3" t="str">
        <f aca="false">IF((10-Q16)+(10-R16)+IF(O16="Yes",3,0)+IF(S16="No",2,0)&gt;=14,"High",IF((10-Q16)+(10-R16)+IF(O16="Yes",3,0)+IF(S16="No",2,0)&gt;=8,"Medium","Low"))</f>
        <v>High</v>
      </c>
    </row>
    <row r="17" customFormat="false" ht="15" hidden="false" customHeight="false" outlineLevel="0" collapsed="false">
      <c r="A17" s="3" t="s">
        <v>93</v>
      </c>
      <c r="B17" s="3" t="s">
        <v>94</v>
      </c>
      <c r="C17" s="3" t="n">
        <v>58</v>
      </c>
      <c r="D17" s="3" t="s">
        <v>43</v>
      </c>
      <c r="E17" s="3" t="s">
        <v>44</v>
      </c>
      <c r="F17" s="3" t="s">
        <v>59</v>
      </c>
      <c r="G17" s="3" t="s">
        <v>77</v>
      </c>
      <c r="H17" s="3" t="s">
        <v>29</v>
      </c>
      <c r="I17" s="3" t="s">
        <v>61</v>
      </c>
      <c r="J17" s="4" t="n">
        <v>43331</v>
      </c>
      <c r="K17" s="3" t="n">
        <f aca="false">ROUND(($X$2-J17)/365,1)</f>
        <v>7.4</v>
      </c>
      <c r="L17" s="5" t="n">
        <v>82258.72</v>
      </c>
      <c r="M17" s="3" t="n">
        <v>3</v>
      </c>
      <c r="N17" s="3" t="n">
        <v>49</v>
      </c>
      <c r="O17" s="3" t="s">
        <v>33</v>
      </c>
      <c r="P17" s="3" t="s">
        <v>40</v>
      </c>
      <c r="Q17" s="3" t="n">
        <v>7</v>
      </c>
      <c r="R17" s="3" t="n">
        <v>6</v>
      </c>
      <c r="S17" s="3" t="s">
        <v>33</v>
      </c>
      <c r="T17" s="6" t="n">
        <v>11.6</v>
      </c>
      <c r="U17" s="3" t="s">
        <v>31</v>
      </c>
      <c r="V17" s="3" t="str">
        <f aca="false">IF((10-Q17)+(10-R17)+IF(O17="Yes",3,0)+IF(S17="No",2,0)&gt;=14,"High",IF((10-Q17)+(10-R17)+IF(O17="Yes",3,0)+IF(S17="No",2,0)&gt;=8,"Medium","Low"))</f>
        <v>Medium</v>
      </c>
    </row>
    <row r="18" customFormat="false" ht="15" hidden="false" customHeight="false" outlineLevel="0" collapsed="false">
      <c r="A18" s="3" t="s">
        <v>95</v>
      </c>
      <c r="B18" s="3" t="s">
        <v>96</v>
      </c>
      <c r="C18" s="3" t="n">
        <v>52</v>
      </c>
      <c r="D18" s="3" t="s">
        <v>25</v>
      </c>
      <c r="E18" s="3" t="s">
        <v>50</v>
      </c>
      <c r="F18" s="3" t="s">
        <v>51</v>
      </c>
      <c r="G18" s="3" t="s">
        <v>46</v>
      </c>
      <c r="H18" s="3" t="s">
        <v>29</v>
      </c>
      <c r="I18" s="3" t="s">
        <v>97</v>
      </c>
      <c r="J18" s="4" t="n">
        <v>43340</v>
      </c>
      <c r="K18" s="3" t="n">
        <f aca="false">ROUND(($X$2-J18)/365,1)</f>
        <v>7.4</v>
      </c>
      <c r="L18" s="5" t="n">
        <v>66632.03</v>
      </c>
      <c r="M18" s="3" t="n">
        <v>3</v>
      </c>
      <c r="N18" s="3" t="n">
        <v>20</v>
      </c>
      <c r="O18" s="3" t="s">
        <v>33</v>
      </c>
      <c r="P18" s="3" t="s">
        <v>67</v>
      </c>
      <c r="Q18" s="3" t="n">
        <v>7</v>
      </c>
      <c r="R18" s="3" t="n">
        <v>1</v>
      </c>
      <c r="S18" s="3" t="s">
        <v>33</v>
      </c>
      <c r="T18" s="6" t="n">
        <v>13.74</v>
      </c>
      <c r="U18" s="3" t="s">
        <v>31</v>
      </c>
      <c r="V18" s="3" t="str">
        <f aca="false">IF((10-Q18)+(10-R18)+IF(O18="Yes",3,0)+IF(S18="No",2,0)&gt;=14,"High",IF((10-Q18)+(10-R18)+IF(O18="Yes",3,0)+IF(S18="No",2,0)&gt;=8,"Medium","Low"))</f>
        <v>High</v>
      </c>
    </row>
    <row r="19" customFormat="false" ht="15" hidden="false" customHeight="false" outlineLevel="0" collapsed="false">
      <c r="A19" s="3" t="s">
        <v>98</v>
      </c>
      <c r="B19" s="3" t="s">
        <v>99</v>
      </c>
      <c r="C19" s="3" t="n">
        <v>50</v>
      </c>
      <c r="D19" s="3" t="s">
        <v>43</v>
      </c>
      <c r="E19" s="3" t="s">
        <v>36</v>
      </c>
      <c r="F19" s="3" t="s">
        <v>100</v>
      </c>
      <c r="G19" s="3" t="s">
        <v>60</v>
      </c>
      <c r="H19" s="3" t="s">
        <v>38</v>
      </c>
      <c r="I19" s="3" t="s">
        <v>39</v>
      </c>
      <c r="J19" s="4" t="n">
        <v>43349</v>
      </c>
      <c r="K19" s="3" t="n">
        <f aca="false">ROUND(($X$2-J19)/365,1)</f>
        <v>7.3</v>
      </c>
      <c r="L19" s="5" t="n">
        <v>137196.33</v>
      </c>
      <c r="M19" s="3" t="n">
        <v>3</v>
      </c>
      <c r="N19" s="3" t="n">
        <v>39</v>
      </c>
      <c r="O19" s="3" t="s">
        <v>31</v>
      </c>
      <c r="P19" s="3" t="s">
        <v>40</v>
      </c>
      <c r="Q19" s="3" t="n">
        <v>10</v>
      </c>
      <c r="R19" s="3" t="n">
        <v>7</v>
      </c>
      <c r="S19" s="3" t="s">
        <v>31</v>
      </c>
      <c r="T19" s="6" t="n">
        <v>1.88</v>
      </c>
      <c r="U19" s="3" t="s">
        <v>33</v>
      </c>
      <c r="V19" s="3" t="str">
        <f aca="false">IF((10-Q19)+(10-R19)+IF(O19="Yes",3,0)+IF(S19="No",2,0)&gt;=14,"High",IF((10-Q19)+(10-R19)+IF(O19="Yes",3,0)+IF(S19="No",2,0)&gt;=8,"Medium","Low"))</f>
        <v>Low</v>
      </c>
    </row>
    <row r="20" customFormat="false" ht="15" hidden="false" customHeight="false" outlineLevel="0" collapsed="false">
      <c r="A20" s="3" t="s">
        <v>101</v>
      </c>
      <c r="B20" s="3" t="s">
        <v>102</v>
      </c>
      <c r="C20" s="3" t="n">
        <v>51</v>
      </c>
      <c r="D20" s="3" t="s">
        <v>43</v>
      </c>
      <c r="E20" s="3" t="s">
        <v>73</v>
      </c>
      <c r="F20" s="3" t="s">
        <v>92</v>
      </c>
      <c r="G20" s="3" t="s">
        <v>60</v>
      </c>
      <c r="H20" s="3" t="s">
        <v>52</v>
      </c>
      <c r="I20" s="3" t="s">
        <v>97</v>
      </c>
      <c r="J20" s="4" t="n">
        <v>43372</v>
      </c>
      <c r="K20" s="3" t="n">
        <f aca="false">ROUND(($X$2-J20)/365,1)</f>
        <v>7.3</v>
      </c>
      <c r="L20" s="5" t="n">
        <v>65272.07</v>
      </c>
      <c r="M20" s="3" t="n">
        <v>1</v>
      </c>
      <c r="N20" s="3" t="n">
        <v>8</v>
      </c>
      <c r="O20" s="3" t="s">
        <v>31</v>
      </c>
      <c r="P20" s="3" t="s">
        <v>67</v>
      </c>
      <c r="Q20" s="3" t="n">
        <v>8</v>
      </c>
      <c r="R20" s="3" t="n">
        <v>8</v>
      </c>
      <c r="S20" s="3" t="s">
        <v>33</v>
      </c>
      <c r="T20" s="6" t="n">
        <v>13.75</v>
      </c>
      <c r="U20" s="3" t="s">
        <v>33</v>
      </c>
      <c r="V20" s="3" t="str">
        <f aca="false">IF((10-Q20)+(10-R20)+IF(O20="Yes",3,0)+IF(S20="No",2,0)&gt;=14,"High",IF((10-Q20)+(10-R20)+IF(O20="Yes",3,0)+IF(S20="No",2,0)&gt;=8,"Medium","Low"))</f>
        <v>Medium</v>
      </c>
    </row>
    <row r="21" customFormat="false" ht="15" hidden="false" customHeight="false" outlineLevel="0" collapsed="false">
      <c r="A21" s="3" t="s">
        <v>103</v>
      </c>
      <c r="B21" s="3" t="s">
        <v>104</v>
      </c>
      <c r="C21" s="3" t="n">
        <v>45</v>
      </c>
      <c r="D21" s="3" t="s">
        <v>43</v>
      </c>
      <c r="E21" s="3" t="s">
        <v>73</v>
      </c>
      <c r="F21" s="3" t="s">
        <v>92</v>
      </c>
      <c r="G21" s="3" t="s">
        <v>77</v>
      </c>
      <c r="H21" s="3" t="s">
        <v>52</v>
      </c>
      <c r="I21" s="3" t="s">
        <v>39</v>
      </c>
      <c r="J21" s="4" t="n">
        <v>43417</v>
      </c>
      <c r="K21" s="3" t="n">
        <f aca="false">ROUND(($X$2-J21)/365,1)</f>
        <v>7.1</v>
      </c>
      <c r="L21" s="5" t="n">
        <v>145120.19</v>
      </c>
      <c r="M21" s="3" t="n">
        <v>2</v>
      </c>
      <c r="N21" s="3" t="n">
        <v>40</v>
      </c>
      <c r="O21" s="3" t="s">
        <v>31</v>
      </c>
      <c r="P21" s="3" t="s">
        <v>67</v>
      </c>
      <c r="Q21" s="3" t="n">
        <v>5</v>
      </c>
      <c r="R21" s="3" t="n">
        <v>2</v>
      </c>
      <c r="S21" s="3" t="s">
        <v>33</v>
      </c>
      <c r="T21" s="6" t="n">
        <v>9.69</v>
      </c>
      <c r="U21" s="3" t="s">
        <v>31</v>
      </c>
      <c r="V21" s="3" t="str">
        <f aca="false">IF((10-Q21)+(10-R21)+IF(O21="Yes",3,0)+IF(S21="No",2,0)&gt;=14,"High",IF((10-Q21)+(10-R21)+IF(O21="Yes",3,0)+IF(S21="No",2,0)&gt;=8,"Medium","Low"))</f>
        <v>High</v>
      </c>
    </row>
    <row r="22" customFormat="false" ht="15" hidden="false" customHeight="false" outlineLevel="0" collapsed="false">
      <c r="A22" s="3" t="s">
        <v>105</v>
      </c>
      <c r="B22" s="3" t="s">
        <v>106</v>
      </c>
      <c r="C22" s="3" t="n">
        <v>31</v>
      </c>
      <c r="D22" s="3" t="s">
        <v>25</v>
      </c>
      <c r="E22" s="3" t="s">
        <v>55</v>
      </c>
      <c r="F22" s="3" t="s">
        <v>107</v>
      </c>
      <c r="G22" s="3" t="s">
        <v>77</v>
      </c>
      <c r="H22" s="3" t="s">
        <v>38</v>
      </c>
      <c r="I22" s="3" t="s">
        <v>66</v>
      </c>
      <c r="J22" s="4" t="n">
        <v>43438</v>
      </c>
      <c r="K22" s="3" t="n">
        <f aca="false">ROUND(($X$2-J22)/365,1)</f>
        <v>7.1</v>
      </c>
      <c r="L22" s="5" t="n">
        <v>48704.42</v>
      </c>
      <c r="M22" s="3" t="n">
        <v>2</v>
      </c>
      <c r="N22" s="3" t="n">
        <v>9</v>
      </c>
      <c r="O22" s="3" t="s">
        <v>33</v>
      </c>
      <c r="P22" s="3" t="s">
        <v>40</v>
      </c>
      <c r="Q22" s="3" t="n">
        <v>2</v>
      </c>
      <c r="R22" s="3" t="n">
        <v>5</v>
      </c>
      <c r="S22" s="3" t="s">
        <v>33</v>
      </c>
      <c r="T22" s="6" t="n">
        <v>12.19</v>
      </c>
      <c r="U22" s="3" t="s">
        <v>33</v>
      </c>
      <c r="V22" s="3" t="str">
        <f aca="false">IF((10-Q22)+(10-R22)+IF(O22="Yes",3,0)+IF(S22="No",2,0)&gt;=14,"High",IF((10-Q22)+(10-R22)+IF(O22="Yes",3,0)+IF(S22="No",2,0)&gt;=8,"Medium","Low"))</f>
        <v>High</v>
      </c>
    </row>
    <row r="23" customFormat="false" ht="15" hidden="false" customHeight="false" outlineLevel="0" collapsed="false">
      <c r="A23" s="3" t="s">
        <v>108</v>
      </c>
      <c r="B23" s="3" t="s">
        <v>109</v>
      </c>
      <c r="C23" s="3" t="n">
        <v>56</v>
      </c>
      <c r="D23" s="3" t="s">
        <v>43</v>
      </c>
      <c r="E23" s="3" t="s">
        <v>26</v>
      </c>
      <c r="F23" s="3" t="s">
        <v>110</v>
      </c>
      <c r="G23" s="3" t="s">
        <v>28</v>
      </c>
      <c r="H23" s="3" t="s">
        <v>29</v>
      </c>
      <c r="I23" s="3" t="s">
        <v>39</v>
      </c>
      <c r="J23" s="4" t="n">
        <v>43440</v>
      </c>
      <c r="K23" s="3" t="n">
        <f aca="false">ROUND(($X$2-J23)/365,1)</f>
        <v>7.1</v>
      </c>
      <c r="L23" s="5" t="n">
        <v>65659.73</v>
      </c>
      <c r="M23" s="3" t="n">
        <v>5</v>
      </c>
      <c r="N23" s="3" t="n">
        <v>11</v>
      </c>
      <c r="O23" s="3" t="s">
        <v>33</v>
      </c>
      <c r="P23" s="3" t="s">
        <v>32</v>
      </c>
      <c r="Q23" s="3" t="n">
        <v>6</v>
      </c>
      <c r="R23" s="3" t="n">
        <v>10</v>
      </c>
      <c r="S23" s="3" t="s">
        <v>31</v>
      </c>
      <c r="T23" s="6" t="n">
        <v>14.91</v>
      </c>
      <c r="U23" s="3" t="s">
        <v>33</v>
      </c>
      <c r="V23" s="3" t="str">
        <f aca="false">IF((10-Q23)+(10-R23)+IF(O23="Yes",3,0)+IF(S23="No",2,0)&gt;=14,"High",IF((10-Q23)+(10-R23)+IF(O23="Yes",3,0)+IF(S23="No",2,0)&gt;=8,"Medium","Low"))</f>
        <v>Low</v>
      </c>
    </row>
    <row r="24" customFormat="false" ht="15" hidden="false" customHeight="false" outlineLevel="0" collapsed="false">
      <c r="A24" s="3" t="s">
        <v>111</v>
      </c>
      <c r="B24" s="3" t="s">
        <v>112</v>
      </c>
      <c r="C24" s="3" t="n">
        <v>43</v>
      </c>
      <c r="D24" s="3" t="s">
        <v>43</v>
      </c>
      <c r="E24" s="3" t="s">
        <v>26</v>
      </c>
      <c r="F24" s="3" t="s">
        <v>110</v>
      </c>
      <c r="G24" s="3" t="s">
        <v>60</v>
      </c>
      <c r="H24" s="3" t="s">
        <v>52</v>
      </c>
      <c r="I24" s="3" t="s">
        <v>30</v>
      </c>
      <c r="J24" s="4" t="n">
        <v>43446</v>
      </c>
      <c r="K24" s="3" t="n">
        <f aca="false">ROUND(($X$2-J24)/365,1)</f>
        <v>7.1</v>
      </c>
      <c r="L24" s="5" t="n">
        <v>90031.88</v>
      </c>
      <c r="M24" s="3" t="n">
        <v>1</v>
      </c>
      <c r="N24" s="3" t="n">
        <v>25</v>
      </c>
      <c r="O24" s="3" t="s">
        <v>31</v>
      </c>
      <c r="P24" s="3" t="s">
        <v>32</v>
      </c>
      <c r="Q24" s="3" t="n">
        <v>8</v>
      </c>
      <c r="R24" s="3" t="n">
        <v>2</v>
      </c>
      <c r="S24" s="3" t="s">
        <v>31</v>
      </c>
      <c r="T24" s="6" t="n">
        <v>4.13</v>
      </c>
      <c r="U24" s="3" t="s">
        <v>33</v>
      </c>
      <c r="V24" s="3" t="str">
        <f aca="false">IF((10-Q24)+(10-R24)+IF(O24="Yes",3,0)+IF(S24="No",2,0)&gt;=14,"High",IF((10-Q24)+(10-R24)+IF(O24="Yes",3,0)+IF(S24="No",2,0)&gt;=8,"Medium","Low"))</f>
        <v>Medium</v>
      </c>
    </row>
    <row r="25" customFormat="false" ht="15" hidden="false" customHeight="false" outlineLevel="0" collapsed="false">
      <c r="A25" s="3" t="s">
        <v>113</v>
      </c>
      <c r="B25" s="3" t="s">
        <v>114</v>
      </c>
      <c r="C25" s="3" t="n">
        <v>46</v>
      </c>
      <c r="D25" s="3" t="s">
        <v>43</v>
      </c>
      <c r="E25" s="3" t="s">
        <v>64</v>
      </c>
      <c r="F25" s="3" t="s">
        <v>115</v>
      </c>
      <c r="G25" s="3" t="s">
        <v>46</v>
      </c>
      <c r="H25" s="3" t="s">
        <v>38</v>
      </c>
      <c r="I25" s="3" t="s">
        <v>116</v>
      </c>
      <c r="J25" s="4" t="n">
        <v>43453</v>
      </c>
      <c r="K25" s="3" t="n">
        <f aca="false">ROUND(($X$2-J25)/365,1)</f>
        <v>7</v>
      </c>
      <c r="L25" s="5" t="n">
        <v>177768.58</v>
      </c>
      <c r="M25" s="3" t="n">
        <v>4</v>
      </c>
      <c r="N25" s="3" t="n">
        <v>28</v>
      </c>
      <c r="O25" s="3" t="s">
        <v>33</v>
      </c>
      <c r="P25" s="3" t="s">
        <v>32</v>
      </c>
      <c r="Q25" s="3" t="n">
        <v>8</v>
      </c>
      <c r="R25" s="3" t="n">
        <v>2</v>
      </c>
      <c r="S25" s="3" t="s">
        <v>33</v>
      </c>
      <c r="T25" s="6" t="n">
        <v>9.31</v>
      </c>
      <c r="U25" s="3" t="s">
        <v>31</v>
      </c>
      <c r="V25" s="3" t="str">
        <f aca="false">IF((10-Q25)+(10-R25)+IF(O25="Yes",3,0)+IF(S25="No",2,0)&gt;=14,"High",IF((10-Q25)+(10-R25)+IF(O25="Yes",3,0)+IF(S25="No",2,0)&gt;=8,"Medium","Low"))</f>
        <v>Medium</v>
      </c>
    </row>
    <row r="26" customFormat="false" ht="15" hidden="false" customHeight="false" outlineLevel="0" collapsed="false">
      <c r="A26" s="3" t="s">
        <v>117</v>
      </c>
      <c r="B26" s="3" t="s">
        <v>118</v>
      </c>
      <c r="C26" s="3" t="n">
        <v>43</v>
      </c>
      <c r="D26" s="3" t="s">
        <v>43</v>
      </c>
      <c r="E26" s="3" t="s">
        <v>64</v>
      </c>
      <c r="F26" s="3" t="s">
        <v>65</v>
      </c>
      <c r="G26" s="3" t="s">
        <v>28</v>
      </c>
      <c r="H26" s="3" t="s">
        <v>29</v>
      </c>
      <c r="I26" s="3" t="s">
        <v>66</v>
      </c>
      <c r="J26" s="4" t="n">
        <v>43463</v>
      </c>
      <c r="K26" s="3" t="n">
        <f aca="false">ROUND(($X$2-J26)/365,1)</f>
        <v>7</v>
      </c>
      <c r="L26" s="5" t="n">
        <v>107433.41</v>
      </c>
      <c r="M26" s="3" t="n">
        <v>1</v>
      </c>
      <c r="N26" s="3" t="n">
        <v>7</v>
      </c>
      <c r="O26" s="3" t="s">
        <v>31</v>
      </c>
      <c r="P26" s="3" t="s">
        <v>32</v>
      </c>
      <c r="Q26" s="3" t="n">
        <v>6</v>
      </c>
      <c r="R26" s="3" t="n">
        <v>4</v>
      </c>
      <c r="S26" s="3" t="s">
        <v>31</v>
      </c>
      <c r="T26" s="6" t="n">
        <v>5.08</v>
      </c>
      <c r="U26" s="3" t="s">
        <v>33</v>
      </c>
      <c r="V26" s="3" t="str">
        <f aca="false">IF((10-Q26)+(10-R26)+IF(O26="Yes",3,0)+IF(S26="No",2,0)&gt;=14,"High",IF((10-Q26)+(10-R26)+IF(O26="Yes",3,0)+IF(S26="No",2,0)&gt;=8,"Medium","Low"))</f>
        <v>Medium</v>
      </c>
    </row>
    <row r="27" customFormat="false" ht="15" hidden="false" customHeight="false" outlineLevel="0" collapsed="false">
      <c r="A27" s="3" t="s">
        <v>119</v>
      </c>
      <c r="B27" s="3" t="s">
        <v>120</v>
      </c>
      <c r="C27" s="3" t="n">
        <v>30</v>
      </c>
      <c r="D27" s="3" t="s">
        <v>25</v>
      </c>
      <c r="E27" s="3" t="s">
        <v>55</v>
      </c>
      <c r="F27" s="3" t="s">
        <v>121</v>
      </c>
      <c r="G27" s="3" t="s">
        <v>46</v>
      </c>
      <c r="H27" s="3" t="s">
        <v>52</v>
      </c>
      <c r="I27" s="3" t="s">
        <v>39</v>
      </c>
      <c r="J27" s="4" t="n">
        <v>43498</v>
      </c>
      <c r="K27" s="3" t="n">
        <f aca="false">ROUND(($X$2-J27)/365,1)</f>
        <v>6.9</v>
      </c>
      <c r="L27" s="5" t="n">
        <v>119103.58</v>
      </c>
      <c r="M27" s="3" t="n">
        <v>2</v>
      </c>
      <c r="N27" s="3" t="n">
        <v>40</v>
      </c>
      <c r="O27" s="3" t="s">
        <v>33</v>
      </c>
      <c r="P27" s="3" t="s">
        <v>67</v>
      </c>
      <c r="Q27" s="3" t="n">
        <v>10</v>
      </c>
      <c r="R27" s="3" t="n">
        <v>3</v>
      </c>
      <c r="S27" s="3" t="s">
        <v>31</v>
      </c>
      <c r="T27" s="6" t="n">
        <v>13.46</v>
      </c>
      <c r="U27" s="3" t="s">
        <v>33</v>
      </c>
      <c r="V27" s="3" t="str">
        <f aca="false">IF((10-Q27)+(10-R27)+IF(O27="Yes",3,0)+IF(S27="No",2,0)&gt;=14,"High",IF((10-Q27)+(10-R27)+IF(O27="Yes",3,0)+IF(S27="No",2,0)&gt;=8,"Medium","Low"))</f>
        <v>Low</v>
      </c>
    </row>
    <row r="28" customFormat="false" ht="15" hidden="false" customHeight="false" outlineLevel="0" collapsed="false">
      <c r="A28" s="3" t="s">
        <v>122</v>
      </c>
      <c r="B28" s="3" t="s">
        <v>123</v>
      </c>
      <c r="C28" s="3" t="n">
        <v>26</v>
      </c>
      <c r="D28" s="3" t="s">
        <v>25</v>
      </c>
      <c r="E28" s="3" t="s">
        <v>36</v>
      </c>
      <c r="F28" s="3" t="s">
        <v>37</v>
      </c>
      <c r="G28" s="3" t="s">
        <v>28</v>
      </c>
      <c r="H28" s="3" t="s">
        <v>52</v>
      </c>
      <c r="I28" s="3" t="s">
        <v>66</v>
      </c>
      <c r="J28" s="4" t="n">
        <v>43501</v>
      </c>
      <c r="K28" s="3" t="n">
        <f aca="false">ROUND(($X$2-J28)/365,1)</f>
        <v>6.9</v>
      </c>
      <c r="L28" s="5" t="n">
        <v>114517.53</v>
      </c>
      <c r="M28" s="3" t="n">
        <v>3</v>
      </c>
      <c r="N28" s="3" t="n">
        <v>33</v>
      </c>
      <c r="O28" s="3" t="s">
        <v>31</v>
      </c>
      <c r="P28" s="3" t="s">
        <v>67</v>
      </c>
      <c r="Q28" s="3" t="n">
        <v>5</v>
      </c>
      <c r="R28" s="3" t="n">
        <v>10</v>
      </c>
      <c r="S28" s="3" t="s">
        <v>33</v>
      </c>
      <c r="T28" s="6" t="n">
        <v>0.06</v>
      </c>
      <c r="U28" s="3" t="s">
        <v>33</v>
      </c>
      <c r="V28" s="3" t="str">
        <f aca="false">IF((10-Q28)+(10-R28)+IF(O28="Yes",3,0)+IF(S28="No",2,0)&gt;=14,"High",IF((10-Q28)+(10-R28)+IF(O28="Yes",3,0)+IF(S28="No",2,0)&gt;=8,"Medium","Low"))</f>
        <v>Medium</v>
      </c>
    </row>
    <row r="29" customFormat="false" ht="15" hidden="false" customHeight="false" outlineLevel="0" collapsed="false">
      <c r="A29" s="3" t="s">
        <v>124</v>
      </c>
      <c r="B29" s="3" t="s">
        <v>125</v>
      </c>
      <c r="C29" s="3" t="n">
        <v>42</v>
      </c>
      <c r="D29" s="3" t="s">
        <v>25</v>
      </c>
      <c r="E29" s="3" t="s">
        <v>50</v>
      </c>
      <c r="F29" s="3" t="s">
        <v>80</v>
      </c>
      <c r="G29" s="3" t="s">
        <v>28</v>
      </c>
      <c r="H29" s="3" t="s">
        <v>38</v>
      </c>
      <c r="I29" s="3" t="s">
        <v>30</v>
      </c>
      <c r="J29" s="4" t="n">
        <v>43541</v>
      </c>
      <c r="K29" s="3" t="n">
        <f aca="false">ROUND(($X$2-J29)/365,1)</f>
        <v>6.8</v>
      </c>
      <c r="L29" s="5" t="n">
        <v>164271.27</v>
      </c>
      <c r="M29" s="3" t="n">
        <v>1</v>
      </c>
      <c r="N29" s="3" t="n">
        <v>40</v>
      </c>
      <c r="O29" s="3" t="s">
        <v>33</v>
      </c>
      <c r="P29" s="3" t="s">
        <v>32</v>
      </c>
      <c r="Q29" s="3" t="n">
        <v>10</v>
      </c>
      <c r="R29" s="3" t="n">
        <v>1</v>
      </c>
      <c r="S29" s="3" t="s">
        <v>33</v>
      </c>
      <c r="T29" s="6" t="n">
        <v>7.06</v>
      </c>
      <c r="U29" s="3" t="s">
        <v>33</v>
      </c>
      <c r="V29" s="3" t="str">
        <f aca="false">IF((10-Q29)+(10-R29)+IF(O29="Yes",3,0)+IF(S29="No",2,0)&gt;=14,"High",IF((10-Q29)+(10-R29)+IF(O29="Yes",3,0)+IF(S29="No",2,0)&gt;=8,"Medium","Low"))</f>
        <v>Medium</v>
      </c>
    </row>
    <row r="30" customFormat="false" ht="15" hidden="false" customHeight="false" outlineLevel="0" collapsed="false">
      <c r="A30" s="3" t="s">
        <v>126</v>
      </c>
      <c r="B30" s="3" t="s">
        <v>127</v>
      </c>
      <c r="C30" s="3" t="n">
        <v>51</v>
      </c>
      <c r="D30" s="3" t="s">
        <v>25</v>
      </c>
      <c r="E30" s="3" t="s">
        <v>55</v>
      </c>
      <c r="F30" s="3" t="s">
        <v>121</v>
      </c>
      <c r="G30" s="3" t="s">
        <v>77</v>
      </c>
      <c r="H30" s="3" t="s">
        <v>52</v>
      </c>
      <c r="I30" s="3" t="s">
        <v>39</v>
      </c>
      <c r="J30" s="4" t="n">
        <v>43556</v>
      </c>
      <c r="K30" s="3" t="n">
        <f aca="false">ROUND(($X$2-J30)/365,1)</f>
        <v>6.8</v>
      </c>
      <c r="L30" s="5" t="n">
        <v>55727.66</v>
      </c>
      <c r="M30" s="3" t="n">
        <v>5</v>
      </c>
      <c r="N30" s="3" t="n">
        <v>18</v>
      </c>
      <c r="O30" s="3" t="s">
        <v>33</v>
      </c>
      <c r="P30" s="3" t="s">
        <v>32</v>
      </c>
      <c r="Q30" s="3" t="n">
        <v>5</v>
      </c>
      <c r="R30" s="3" t="n">
        <v>7</v>
      </c>
      <c r="S30" s="3" t="s">
        <v>33</v>
      </c>
      <c r="T30" s="6" t="n">
        <v>14.26</v>
      </c>
      <c r="U30" s="3" t="s">
        <v>33</v>
      </c>
      <c r="V30" s="3" t="str">
        <f aca="false">IF((10-Q30)+(10-R30)+IF(O30="Yes",3,0)+IF(S30="No",2,0)&gt;=14,"High",IF((10-Q30)+(10-R30)+IF(O30="Yes",3,0)+IF(S30="No",2,0)&gt;=8,"Medium","Low"))</f>
        <v>Medium</v>
      </c>
    </row>
    <row r="31" customFormat="false" ht="15" hidden="false" customHeight="false" outlineLevel="0" collapsed="false">
      <c r="A31" s="3" t="s">
        <v>128</v>
      </c>
      <c r="B31" s="3" t="s">
        <v>129</v>
      </c>
      <c r="C31" s="3" t="n">
        <v>23</v>
      </c>
      <c r="D31" s="3" t="s">
        <v>25</v>
      </c>
      <c r="E31" s="3" t="s">
        <v>73</v>
      </c>
      <c r="F31" s="3" t="s">
        <v>74</v>
      </c>
      <c r="G31" s="3" t="s">
        <v>60</v>
      </c>
      <c r="H31" s="3" t="s">
        <v>29</v>
      </c>
      <c r="I31" s="3" t="s">
        <v>66</v>
      </c>
      <c r="J31" s="4" t="n">
        <v>43570</v>
      </c>
      <c r="K31" s="3" t="n">
        <f aca="false">ROUND(($X$2-J31)/365,1)</f>
        <v>6.7</v>
      </c>
      <c r="L31" s="5" t="n">
        <v>152689.01</v>
      </c>
      <c r="M31" s="3" t="n">
        <v>2</v>
      </c>
      <c r="N31" s="3" t="n">
        <v>43</v>
      </c>
      <c r="O31" s="3" t="s">
        <v>31</v>
      </c>
      <c r="P31" s="3" t="s">
        <v>67</v>
      </c>
      <c r="Q31" s="3" t="n">
        <v>4</v>
      </c>
      <c r="R31" s="3" t="n">
        <v>4</v>
      </c>
      <c r="S31" s="3" t="s">
        <v>33</v>
      </c>
      <c r="T31" s="6" t="n">
        <v>1.07</v>
      </c>
      <c r="U31" s="3" t="s">
        <v>33</v>
      </c>
      <c r="V31" s="3" t="str">
        <f aca="false">IF((10-Q31)+(10-R31)+IF(O31="Yes",3,0)+IF(S31="No",2,0)&gt;=14,"High",IF((10-Q31)+(10-R31)+IF(O31="Yes",3,0)+IF(S31="No",2,0)&gt;=8,"Medium","Low"))</f>
        <v>High</v>
      </c>
    </row>
    <row r="32" customFormat="false" ht="15" hidden="false" customHeight="false" outlineLevel="0" collapsed="false">
      <c r="A32" s="3" t="s">
        <v>130</v>
      </c>
      <c r="B32" s="3" t="s">
        <v>131</v>
      </c>
      <c r="C32" s="3" t="n">
        <v>27</v>
      </c>
      <c r="D32" s="3" t="s">
        <v>43</v>
      </c>
      <c r="E32" s="3" t="s">
        <v>36</v>
      </c>
      <c r="F32" s="3" t="s">
        <v>100</v>
      </c>
      <c r="G32" s="3" t="s">
        <v>77</v>
      </c>
      <c r="H32" s="3" t="s">
        <v>29</v>
      </c>
      <c r="I32" s="3" t="s">
        <v>47</v>
      </c>
      <c r="J32" s="4" t="n">
        <v>43574</v>
      </c>
      <c r="K32" s="3" t="n">
        <f aca="false">ROUND(($X$2-J32)/365,1)</f>
        <v>6.7</v>
      </c>
      <c r="L32" s="5" t="n">
        <v>63401.62</v>
      </c>
      <c r="M32" s="3" t="n">
        <v>2</v>
      </c>
      <c r="N32" s="3" t="n">
        <v>58</v>
      </c>
      <c r="O32" s="3" t="s">
        <v>31</v>
      </c>
      <c r="P32" s="3" t="s">
        <v>32</v>
      </c>
      <c r="Q32" s="3" t="n">
        <v>9</v>
      </c>
      <c r="R32" s="3" t="n">
        <v>5</v>
      </c>
      <c r="S32" s="3" t="s">
        <v>33</v>
      </c>
      <c r="T32" s="6" t="n">
        <v>9.89</v>
      </c>
      <c r="U32" s="3" t="s">
        <v>33</v>
      </c>
      <c r="V32" s="3" t="str">
        <f aca="false">IF((10-Q32)+(10-R32)+IF(O32="Yes",3,0)+IF(S32="No",2,0)&gt;=14,"High",IF((10-Q32)+(10-R32)+IF(O32="Yes",3,0)+IF(S32="No",2,0)&gt;=8,"Medium","Low"))</f>
        <v>Medium</v>
      </c>
    </row>
    <row r="33" customFormat="false" ht="15" hidden="false" customHeight="false" outlineLevel="0" collapsed="false">
      <c r="A33" s="3" t="s">
        <v>132</v>
      </c>
      <c r="B33" s="3" t="s">
        <v>133</v>
      </c>
      <c r="C33" s="3" t="n">
        <v>49</v>
      </c>
      <c r="D33" s="3" t="s">
        <v>43</v>
      </c>
      <c r="E33" s="3" t="s">
        <v>64</v>
      </c>
      <c r="F33" s="3" t="s">
        <v>115</v>
      </c>
      <c r="G33" s="3" t="s">
        <v>77</v>
      </c>
      <c r="H33" s="3" t="s">
        <v>29</v>
      </c>
      <c r="I33" s="3" t="s">
        <v>66</v>
      </c>
      <c r="J33" s="4" t="n">
        <v>43575</v>
      </c>
      <c r="K33" s="3" t="n">
        <f aca="false">ROUND(($X$2-J33)/365,1)</f>
        <v>6.7</v>
      </c>
      <c r="L33" s="5" t="n">
        <v>129864.14</v>
      </c>
      <c r="M33" s="3" t="n">
        <v>3</v>
      </c>
      <c r="N33" s="3" t="n">
        <v>1</v>
      </c>
      <c r="O33" s="3" t="s">
        <v>31</v>
      </c>
      <c r="P33" s="3" t="s">
        <v>32</v>
      </c>
      <c r="Q33" s="3" t="n">
        <v>2</v>
      </c>
      <c r="R33" s="3" t="n">
        <v>2</v>
      </c>
      <c r="S33" s="3" t="s">
        <v>31</v>
      </c>
      <c r="T33" s="6" t="n">
        <v>6.8</v>
      </c>
      <c r="U33" s="3" t="s">
        <v>31</v>
      </c>
      <c r="V33" s="3" t="str">
        <f aca="false">IF((10-Q33)+(10-R33)+IF(O33="Yes",3,0)+IF(S33="No",2,0)&gt;=14,"High",IF((10-Q33)+(10-R33)+IF(O33="Yes",3,0)+IF(S33="No",2,0)&gt;=8,"Medium","Low"))</f>
        <v>High</v>
      </c>
    </row>
    <row r="34" customFormat="false" ht="15" hidden="false" customHeight="false" outlineLevel="0" collapsed="false">
      <c r="A34" s="3" t="s">
        <v>134</v>
      </c>
      <c r="B34" s="3" t="s">
        <v>135</v>
      </c>
      <c r="C34" s="3" t="n">
        <v>28</v>
      </c>
      <c r="D34" s="3" t="s">
        <v>25</v>
      </c>
      <c r="E34" s="3" t="s">
        <v>64</v>
      </c>
      <c r="F34" s="3" t="s">
        <v>65</v>
      </c>
      <c r="G34" s="3" t="s">
        <v>28</v>
      </c>
      <c r="H34" s="3" t="s">
        <v>38</v>
      </c>
      <c r="I34" s="3" t="s">
        <v>81</v>
      </c>
      <c r="J34" s="4" t="n">
        <v>43604</v>
      </c>
      <c r="K34" s="3" t="n">
        <f aca="false">ROUND(($X$2-J34)/365,1)</f>
        <v>6.6</v>
      </c>
      <c r="L34" s="5" t="n">
        <v>53290.45</v>
      </c>
      <c r="M34" s="3" t="n">
        <v>4</v>
      </c>
      <c r="N34" s="3" t="n">
        <v>39</v>
      </c>
      <c r="O34" s="3" t="s">
        <v>33</v>
      </c>
      <c r="P34" s="3" t="s">
        <v>40</v>
      </c>
      <c r="Q34" s="3" t="n">
        <v>4</v>
      </c>
      <c r="R34" s="3" t="n">
        <v>4</v>
      </c>
      <c r="S34" s="3" t="s">
        <v>33</v>
      </c>
      <c r="T34" s="6" t="n">
        <v>2.77</v>
      </c>
      <c r="U34" s="3" t="s">
        <v>33</v>
      </c>
      <c r="V34" s="3" t="str">
        <f aca="false">IF((10-Q34)+(10-R34)+IF(O34="Yes",3,0)+IF(S34="No",2,0)&gt;=14,"High",IF((10-Q34)+(10-R34)+IF(O34="Yes",3,0)+IF(S34="No",2,0)&gt;=8,"Medium","Low"))</f>
        <v>High</v>
      </c>
    </row>
    <row r="35" customFormat="false" ht="15" hidden="false" customHeight="false" outlineLevel="0" collapsed="false">
      <c r="A35" s="3" t="s">
        <v>136</v>
      </c>
      <c r="B35" s="3" t="s">
        <v>137</v>
      </c>
      <c r="C35" s="3" t="n">
        <v>49</v>
      </c>
      <c r="D35" s="3" t="s">
        <v>25</v>
      </c>
      <c r="E35" s="3" t="s">
        <v>55</v>
      </c>
      <c r="F35" s="3" t="s">
        <v>56</v>
      </c>
      <c r="G35" s="3" t="s">
        <v>60</v>
      </c>
      <c r="H35" s="3" t="s">
        <v>52</v>
      </c>
      <c r="I35" s="3" t="s">
        <v>66</v>
      </c>
      <c r="J35" s="4" t="n">
        <v>43652</v>
      </c>
      <c r="K35" s="3" t="n">
        <f aca="false">ROUND(($X$2-J35)/365,1)</f>
        <v>6.5</v>
      </c>
      <c r="L35" s="5" t="n">
        <v>71195.05</v>
      </c>
      <c r="M35" s="3" t="n">
        <v>2</v>
      </c>
      <c r="N35" s="3" t="n">
        <v>52</v>
      </c>
      <c r="O35" s="3" t="s">
        <v>31</v>
      </c>
      <c r="P35" s="3" t="s">
        <v>67</v>
      </c>
      <c r="Q35" s="3" t="n">
        <v>3</v>
      </c>
      <c r="R35" s="3" t="n">
        <v>5</v>
      </c>
      <c r="S35" s="3" t="s">
        <v>33</v>
      </c>
      <c r="T35" s="6" t="n">
        <v>12.02</v>
      </c>
      <c r="U35" s="3" t="s">
        <v>31</v>
      </c>
      <c r="V35" s="3" t="str">
        <f aca="false">IF((10-Q35)+(10-R35)+IF(O35="Yes",3,0)+IF(S35="No",2,0)&gt;=14,"High",IF((10-Q35)+(10-R35)+IF(O35="Yes",3,0)+IF(S35="No",2,0)&gt;=8,"Medium","Low"))</f>
        <v>High</v>
      </c>
    </row>
    <row r="36" customFormat="false" ht="15" hidden="false" customHeight="false" outlineLevel="0" collapsed="false">
      <c r="A36" s="3" t="s">
        <v>138</v>
      </c>
      <c r="B36" s="3" t="s">
        <v>139</v>
      </c>
      <c r="C36" s="3" t="n">
        <v>32</v>
      </c>
      <c r="D36" s="3" t="s">
        <v>25</v>
      </c>
      <c r="E36" s="3" t="s">
        <v>64</v>
      </c>
      <c r="F36" s="3" t="s">
        <v>140</v>
      </c>
      <c r="G36" s="3" t="s">
        <v>60</v>
      </c>
      <c r="H36" s="3" t="s">
        <v>29</v>
      </c>
      <c r="I36" s="3" t="s">
        <v>97</v>
      </c>
      <c r="J36" s="4" t="n">
        <v>43690</v>
      </c>
      <c r="K36" s="3" t="n">
        <f aca="false">ROUND(($X$2-J36)/365,1)</f>
        <v>6.4</v>
      </c>
      <c r="L36" s="5" t="n">
        <v>56318.65</v>
      </c>
      <c r="M36" s="3" t="n">
        <v>1</v>
      </c>
      <c r="N36" s="3" t="n">
        <v>8</v>
      </c>
      <c r="O36" s="3" t="s">
        <v>31</v>
      </c>
      <c r="P36" s="3" t="s">
        <v>40</v>
      </c>
      <c r="Q36" s="3" t="n">
        <v>4</v>
      </c>
      <c r="R36" s="3" t="n">
        <v>4</v>
      </c>
      <c r="S36" s="3" t="s">
        <v>33</v>
      </c>
      <c r="T36" s="6" t="n">
        <v>12.8</v>
      </c>
      <c r="U36" s="3" t="s">
        <v>31</v>
      </c>
      <c r="V36" s="3" t="str">
        <f aca="false">IF((10-Q36)+(10-R36)+IF(O36="Yes",3,0)+IF(S36="No",2,0)&gt;=14,"High",IF((10-Q36)+(10-R36)+IF(O36="Yes",3,0)+IF(S36="No",2,0)&gt;=8,"Medium","Low"))</f>
        <v>High</v>
      </c>
    </row>
    <row r="37" customFormat="false" ht="15" hidden="false" customHeight="false" outlineLevel="0" collapsed="false">
      <c r="A37" s="3" t="s">
        <v>141</v>
      </c>
      <c r="B37" s="3" t="s">
        <v>142</v>
      </c>
      <c r="C37" s="3" t="n">
        <v>31</v>
      </c>
      <c r="D37" s="3" t="s">
        <v>43</v>
      </c>
      <c r="E37" s="3" t="s">
        <v>55</v>
      </c>
      <c r="F37" s="3" t="s">
        <v>56</v>
      </c>
      <c r="G37" s="3" t="s">
        <v>60</v>
      </c>
      <c r="H37" s="3" t="s">
        <v>38</v>
      </c>
      <c r="I37" s="3" t="s">
        <v>47</v>
      </c>
      <c r="J37" s="4" t="n">
        <v>43716</v>
      </c>
      <c r="K37" s="3" t="n">
        <f aca="false">ROUND(($X$2-J37)/365,1)</f>
        <v>6.3</v>
      </c>
      <c r="L37" s="5" t="n">
        <v>159287.11</v>
      </c>
      <c r="M37" s="3" t="n">
        <v>5</v>
      </c>
      <c r="N37" s="3" t="n">
        <v>52</v>
      </c>
      <c r="O37" s="3" t="s">
        <v>31</v>
      </c>
      <c r="P37" s="3" t="s">
        <v>40</v>
      </c>
      <c r="Q37" s="3" t="n">
        <v>10</v>
      </c>
      <c r="R37" s="3" t="n">
        <v>2</v>
      </c>
      <c r="S37" s="3" t="s">
        <v>33</v>
      </c>
      <c r="T37" s="6" t="n">
        <v>4.86</v>
      </c>
      <c r="U37" s="3" t="s">
        <v>33</v>
      </c>
      <c r="V37" s="3" t="str">
        <f aca="false">IF((10-Q37)+(10-R37)+IF(O37="Yes",3,0)+IF(S37="No",2,0)&gt;=14,"High",IF((10-Q37)+(10-R37)+IF(O37="Yes",3,0)+IF(S37="No",2,0)&gt;=8,"Medium","Low"))</f>
        <v>Medium</v>
      </c>
    </row>
    <row r="38" customFormat="false" ht="15" hidden="false" customHeight="false" outlineLevel="0" collapsed="false">
      <c r="A38" s="3" t="s">
        <v>143</v>
      </c>
      <c r="B38" s="3" t="s">
        <v>144</v>
      </c>
      <c r="C38" s="3" t="n">
        <v>48</v>
      </c>
      <c r="D38" s="3" t="s">
        <v>25</v>
      </c>
      <c r="E38" s="3" t="s">
        <v>26</v>
      </c>
      <c r="F38" s="3" t="s">
        <v>27</v>
      </c>
      <c r="G38" s="3" t="s">
        <v>77</v>
      </c>
      <c r="H38" s="3" t="s">
        <v>29</v>
      </c>
      <c r="I38" s="3" t="s">
        <v>47</v>
      </c>
      <c r="J38" s="4" t="n">
        <v>43720</v>
      </c>
      <c r="K38" s="3" t="n">
        <f aca="false">ROUND(($X$2-J38)/365,1)</f>
        <v>6.3</v>
      </c>
      <c r="L38" s="5" t="n">
        <v>145098.09</v>
      </c>
      <c r="M38" s="3" t="n">
        <v>4</v>
      </c>
      <c r="N38" s="3" t="n">
        <v>3</v>
      </c>
      <c r="O38" s="3" t="s">
        <v>33</v>
      </c>
      <c r="P38" s="3" t="s">
        <v>67</v>
      </c>
      <c r="Q38" s="3" t="n">
        <v>9</v>
      </c>
      <c r="R38" s="3" t="n">
        <v>8</v>
      </c>
      <c r="S38" s="3" t="s">
        <v>31</v>
      </c>
      <c r="T38" s="6" t="n">
        <v>14.29</v>
      </c>
      <c r="U38" s="3" t="s">
        <v>33</v>
      </c>
      <c r="V38" s="3" t="str">
        <f aca="false">IF((10-Q38)+(10-R38)+IF(O38="Yes",3,0)+IF(S38="No",2,0)&gt;=14,"High",IF((10-Q38)+(10-R38)+IF(O38="Yes",3,0)+IF(S38="No",2,0)&gt;=8,"Medium","Low"))</f>
        <v>Low</v>
      </c>
    </row>
    <row r="39" customFormat="false" ht="15" hidden="false" customHeight="false" outlineLevel="0" collapsed="false">
      <c r="A39" s="3" t="s">
        <v>145</v>
      </c>
      <c r="B39" s="3" t="s">
        <v>146</v>
      </c>
      <c r="C39" s="3" t="n">
        <v>53</v>
      </c>
      <c r="D39" s="3" t="s">
        <v>25</v>
      </c>
      <c r="E39" s="3" t="s">
        <v>73</v>
      </c>
      <c r="F39" s="3" t="s">
        <v>147</v>
      </c>
      <c r="G39" s="3" t="s">
        <v>46</v>
      </c>
      <c r="H39" s="3" t="s">
        <v>38</v>
      </c>
      <c r="I39" s="3" t="s">
        <v>97</v>
      </c>
      <c r="J39" s="4" t="n">
        <v>43738</v>
      </c>
      <c r="K39" s="3" t="n">
        <f aca="false">ROUND(($X$2-J39)/365,1)</f>
        <v>6.3</v>
      </c>
      <c r="L39" s="5" t="n">
        <v>40694.73</v>
      </c>
      <c r="M39" s="3" t="n">
        <v>3</v>
      </c>
      <c r="N39" s="3" t="n">
        <v>25</v>
      </c>
      <c r="O39" s="3" t="s">
        <v>33</v>
      </c>
      <c r="P39" s="3" t="s">
        <v>67</v>
      </c>
      <c r="Q39" s="3" t="n">
        <v>1</v>
      </c>
      <c r="R39" s="3" t="n">
        <v>5</v>
      </c>
      <c r="S39" s="3" t="s">
        <v>33</v>
      </c>
      <c r="T39" s="6" t="n">
        <v>10.66</v>
      </c>
      <c r="U39" s="3" t="s">
        <v>33</v>
      </c>
      <c r="V39" s="3" t="str">
        <f aca="false">IF((10-Q39)+(10-R39)+IF(O39="Yes",3,0)+IF(S39="No",2,0)&gt;=14,"High",IF((10-Q39)+(10-R39)+IF(O39="Yes",3,0)+IF(S39="No",2,0)&gt;=8,"Medium","Low"))</f>
        <v>High</v>
      </c>
    </row>
    <row r="40" customFormat="false" ht="15" hidden="false" customHeight="false" outlineLevel="0" collapsed="false">
      <c r="A40" s="3" t="s">
        <v>148</v>
      </c>
      <c r="B40" s="3" t="s">
        <v>149</v>
      </c>
      <c r="C40" s="3" t="n">
        <v>31</v>
      </c>
      <c r="D40" s="3" t="s">
        <v>25</v>
      </c>
      <c r="E40" s="3" t="s">
        <v>64</v>
      </c>
      <c r="F40" s="3" t="s">
        <v>115</v>
      </c>
      <c r="G40" s="3" t="s">
        <v>77</v>
      </c>
      <c r="H40" s="3" t="s">
        <v>29</v>
      </c>
      <c r="I40" s="3" t="s">
        <v>81</v>
      </c>
      <c r="J40" s="4" t="n">
        <v>43746</v>
      </c>
      <c r="K40" s="3" t="n">
        <f aca="false">ROUND(($X$2-J40)/365,1)</f>
        <v>6.2</v>
      </c>
      <c r="L40" s="5" t="n">
        <v>91523.46</v>
      </c>
      <c r="M40" s="3" t="n">
        <v>5</v>
      </c>
      <c r="N40" s="3" t="n">
        <v>50</v>
      </c>
      <c r="O40" s="3" t="s">
        <v>31</v>
      </c>
      <c r="P40" s="3" t="s">
        <v>67</v>
      </c>
      <c r="Q40" s="3" t="n">
        <v>9</v>
      </c>
      <c r="R40" s="3" t="n">
        <v>7</v>
      </c>
      <c r="S40" s="3" t="s">
        <v>31</v>
      </c>
      <c r="T40" s="6" t="n">
        <v>9.54</v>
      </c>
      <c r="U40" s="3" t="s">
        <v>33</v>
      </c>
      <c r="V40" s="3" t="str">
        <f aca="false">IF((10-Q40)+(10-R40)+IF(O40="Yes",3,0)+IF(S40="No",2,0)&gt;=14,"High",IF((10-Q40)+(10-R40)+IF(O40="Yes",3,0)+IF(S40="No",2,0)&gt;=8,"Medium","Low"))</f>
        <v>Low</v>
      </c>
    </row>
    <row r="41" customFormat="false" ht="15" hidden="false" customHeight="false" outlineLevel="0" collapsed="false">
      <c r="A41" s="3" t="s">
        <v>150</v>
      </c>
      <c r="B41" s="3" t="s">
        <v>151</v>
      </c>
      <c r="C41" s="3" t="n">
        <v>56</v>
      </c>
      <c r="D41" s="3" t="s">
        <v>43</v>
      </c>
      <c r="E41" s="3" t="s">
        <v>50</v>
      </c>
      <c r="F41" s="3" t="s">
        <v>51</v>
      </c>
      <c r="G41" s="3" t="s">
        <v>60</v>
      </c>
      <c r="H41" s="3" t="s">
        <v>29</v>
      </c>
      <c r="I41" s="3" t="s">
        <v>47</v>
      </c>
      <c r="J41" s="4" t="n">
        <v>43753</v>
      </c>
      <c r="K41" s="3" t="n">
        <f aca="false">ROUND(($X$2-J41)/365,1)</f>
        <v>6.2</v>
      </c>
      <c r="L41" s="5" t="n">
        <v>119350.41</v>
      </c>
      <c r="M41" s="3" t="n">
        <v>3</v>
      </c>
      <c r="N41" s="3" t="n">
        <v>42</v>
      </c>
      <c r="O41" s="3" t="s">
        <v>33</v>
      </c>
      <c r="P41" s="3" t="s">
        <v>32</v>
      </c>
      <c r="Q41" s="3" t="n">
        <v>7</v>
      </c>
      <c r="R41" s="3" t="n">
        <v>7</v>
      </c>
      <c r="S41" s="3" t="s">
        <v>33</v>
      </c>
      <c r="T41" s="6" t="n">
        <v>4.96</v>
      </c>
      <c r="U41" s="3" t="s">
        <v>31</v>
      </c>
      <c r="V41" s="3" t="str">
        <f aca="false">IF((10-Q41)+(10-R41)+IF(O41="Yes",3,0)+IF(S41="No",2,0)&gt;=14,"High",IF((10-Q41)+(10-R41)+IF(O41="Yes",3,0)+IF(S41="No",2,0)&gt;=8,"Medium","Low"))</f>
        <v>Medium</v>
      </c>
    </row>
    <row r="42" customFormat="false" ht="15" hidden="false" customHeight="false" outlineLevel="0" collapsed="false">
      <c r="A42" s="3" t="s">
        <v>152</v>
      </c>
      <c r="B42" s="3" t="s">
        <v>83</v>
      </c>
      <c r="C42" s="3" t="n">
        <v>27</v>
      </c>
      <c r="D42" s="3" t="s">
        <v>25</v>
      </c>
      <c r="E42" s="3" t="s">
        <v>26</v>
      </c>
      <c r="F42" s="3" t="s">
        <v>110</v>
      </c>
      <c r="G42" s="3" t="s">
        <v>60</v>
      </c>
      <c r="H42" s="3" t="s">
        <v>52</v>
      </c>
      <c r="I42" s="3" t="s">
        <v>30</v>
      </c>
      <c r="J42" s="4" t="n">
        <v>43769</v>
      </c>
      <c r="K42" s="3" t="n">
        <f aca="false">ROUND(($X$2-J42)/365,1)</f>
        <v>6.2</v>
      </c>
      <c r="L42" s="5" t="n">
        <v>129365.45</v>
      </c>
      <c r="M42" s="3" t="n">
        <v>1</v>
      </c>
      <c r="N42" s="3" t="n">
        <v>11</v>
      </c>
      <c r="O42" s="3" t="s">
        <v>31</v>
      </c>
      <c r="P42" s="3" t="s">
        <v>67</v>
      </c>
      <c r="Q42" s="3" t="n">
        <v>6</v>
      </c>
      <c r="R42" s="3" t="n">
        <v>10</v>
      </c>
      <c r="S42" s="3" t="s">
        <v>31</v>
      </c>
      <c r="T42" s="6" t="n">
        <v>6.55</v>
      </c>
      <c r="U42" s="3" t="s">
        <v>31</v>
      </c>
      <c r="V42" s="3" t="str">
        <f aca="false">IF((10-Q42)+(10-R42)+IF(O42="Yes",3,0)+IF(S42="No",2,0)&gt;=14,"High",IF((10-Q42)+(10-R42)+IF(O42="Yes",3,0)+IF(S42="No",2,0)&gt;=8,"Medium","Low"))</f>
        <v>Low</v>
      </c>
    </row>
    <row r="43" customFormat="false" ht="15" hidden="false" customHeight="false" outlineLevel="0" collapsed="false">
      <c r="A43" s="3" t="s">
        <v>153</v>
      </c>
      <c r="B43" s="3" t="s">
        <v>154</v>
      </c>
      <c r="C43" s="3" t="n">
        <v>24</v>
      </c>
      <c r="D43" s="3" t="s">
        <v>25</v>
      </c>
      <c r="E43" s="3" t="s">
        <v>26</v>
      </c>
      <c r="F43" s="3" t="s">
        <v>110</v>
      </c>
      <c r="G43" s="3" t="s">
        <v>60</v>
      </c>
      <c r="H43" s="3" t="s">
        <v>38</v>
      </c>
      <c r="I43" s="3" t="s">
        <v>66</v>
      </c>
      <c r="J43" s="4" t="n">
        <v>43773</v>
      </c>
      <c r="K43" s="3" t="n">
        <f aca="false">ROUND(($X$2-J43)/365,1)</f>
        <v>6.2</v>
      </c>
      <c r="L43" s="5" t="n">
        <v>91388.76</v>
      </c>
      <c r="M43" s="3" t="n">
        <v>4</v>
      </c>
      <c r="N43" s="3" t="n">
        <v>21</v>
      </c>
      <c r="O43" s="3" t="s">
        <v>31</v>
      </c>
      <c r="P43" s="3" t="s">
        <v>32</v>
      </c>
      <c r="Q43" s="3" t="n">
        <v>4</v>
      </c>
      <c r="R43" s="3" t="n">
        <v>9</v>
      </c>
      <c r="S43" s="3" t="s">
        <v>31</v>
      </c>
      <c r="T43" s="6" t="n">
        <v>1.49</v>
      </c>
      <c r="U43" s="3" t="s">
        <v>33</v>
      </c>
      <c r="V43" s="3" t="str">
        <f aca="false">IF((10-Q43)+(10-R43)+IF(O43="Yes",3,0)+IF(S43="No",2,0)&gt;=14,"High",IF((10-Q43)+(10-R43)+IF(O43="Yes",3,0)+IF(S43="No",2,0)&gt;=8,"Medium","Low"))</f>
        <v>Medium</v>
      </c>
    </row>
    <row r="44" customFormat="false" ht="15" hidden="false" customHeight="false" outlineLevel="0" collapsed="false">
      <c r="A44" s="3" t="s">
        <v>155</v>
      </c>
      <c r="B44" s="3" t="s">
        <v>156</v>
      </c>
      <c r="C44" s="3" t="n">
        <v>23</v>
      </c>
      <c r="D44" s="3" t="s">
        <v>25</v>
      </c>
      <c r="E44" s="3" t="s">
        <v>55</v>
      </c>
      <c r="F44" s="3" t="s">
        <v>121</v>
      </c>
      <c r="G44" s="3" t="s">
        <v>46</v>
      </c>
      <c r="H44" s="3" t="s">
        <v>29</v>
      </c>
      <c r="I44" s="3" t="s">
        <v>116</v>
      </c>
      <c r="J44" s="4" t="n">
        <v>43784</v>
      </c>
      <c r="K44" s="3" t="n">
        <f aca="false">ROUND(($X$2-J44)/365,1)</f>
        <v>6.1</v>
      </c>
      <c r="L44" s="5" t="n">
        <v>130840.47</v>
      </c>
      <c r="M44" s="3" t="n">
        <v>4</v>
      </c>
      <c r="N44" s="3" t="n">
        <v>24</v>
      </c>
      <c r="O44" s="3" t="s">
        <v>33</v>
      </c>
      <c r="P44" s="3" t="s">
        <v>67</v>
      </c>
      <c r="Q44" s="3" t="n">
        <v>9</v>
      </c>
      <c r="R44" s="3" t="n">
        <v>7</v>
      </c>
      <c r="S44" s="3" t="s">
        <v>31</v>
      </c>
      <c r="T44" s="6" t="n">
        <v>2.05</v>
      </c>
      <c r="U44" s="3" t="s">
        <v>31</v>
      </c>
      <c r="V44" s="3" t="str">
        <f aca="false">IF((10-Q44)+(10-R44)+IF(O44="Yes",3,0)+IF(S44="No",2,0)&gt;=14,"High",IF((10-Q44)+(10-R44)+IF(O44="Yes",3,0)+IF(S44="No",2,0)&gt;=8,"Medium","Low"))</f>
        <v>Low</v>
      </c>
    </row>
    <row r="45" customFormat="false" ht="15" hidden="false" customHeight="false" outlineLevel="0" collapsed="false">
      <c r="A45" s="3" t="s">
        <v>157</v>
      </c>
      <c r="B45" s="3" t="s">
        <v>158</v>
      </c>
      <c r="C45" s="3" t="n">
        <v>50</v>
      </c>
      <c r="D45" s="3" t="s">
        <v>25</v>
      </c>
      <c r="E45" s="3" t="s">
        <v>44</v>
      </c>
      <c r="F45" s="3" t="s">
        <v>70</v>
      </c>
      <c r="G45" s="3" t="s">
        <v>77</v>
      </c>
      <c r="H45" s="3" t="s">
        <v>38</v>
      </c>
      <c r="I45" s="3" t="s">
        <v>66</v>
      </c>
      <c r="J45" s="4" t="n">
        <v>43784</v>
      </c>
      <c r="K45" s="3" t="n">
        <f aca="false">ROUND(($X$2-J45)/365,1)</f>
        <v>6.1</v>
      </c>
      <c r="L45" s="5" t="n">
        <v>156293.98</v>
      </c>
      <c r="M45" s="3" t="n">
        <v>1</v>
      </c>
      <c r="N45" s="3" t="n">
        <v>39</v>
      </c>
      <c r="O45" s="3" t="s">
        <v>31</v>
      </c>
      <c r="P45" s="3" t="s">
        <v>32</v>
      </c>
      <c r="Q45" s="3" t="n">
        <v>1</v>
      </c>
      <c r="R45" s="3" t="n">
        <v>5</v>
      </c>
      <c r="S45" s="3" t="s">
        <v>31</v>
      </c>
      <c r="T45" s="6" t="n">
        <v>10.83</v>
      </c>
      <c r="U45" s="3" t="s">
        <v>31</v>
      </c>
      <c r="V45" s="3" t="str">
        <f aca="false">IF((10-Q45)+(10-R45)+IF(O45="Yes",3,0)+IF(S45="No",2,0)&gt;=14,"High",IF((10-Q45)+(10-R45)+IF(O45="Yes",3,0)+IF(S45="No",2,0)&gt;=8,"Medium","Low"))</f>
        <v>High</v>
      </c>
    </row>
    <row r="46" customFormat="false" ht="15" hidden="false" customHeight="false" outlineLevel="0" collapsed="false">
      <c r="A46" s="3" t="s">
        <v>159</v>
      </c>
      <c r="B46" s="3" t="s">
        <v>160</v>
      </c>
      <c r="C46" s="3" t="n">
        <v>50</v>
      </c>
      <c r="D46" s="3" t="s">
        <v>43</v>
      </c>
      <c r="E46" s="3" t="s">
        <v>55</v>
      </c>
      <c r="F46" s="3" t="s">
        <v>107</v>
      </c>
      <c r="G46" s="3" t="s">
        <v>28</v>
      </c>
      <c r="H46" s="3" t="s">
        <v>52</v>
      </c>
      <c r="I46" s="3" t="s">
        <v>97</v>
      </c>
      <c r="J46" s="4" t="n">
        <v>43791</v>
      </c>
      <c r="K46" s="3" t="n">
        <f aca="false">ROUND(($X$2-J46)/365,1)</f>
        <v>6.1</v>
      </c>
      <c r="L46" s="5" t="n">
        <v>29656.82</v>
      </c>
      <c r="M46" s="3" t="n">
        <v>2</v>
      </c>
      <c r="N46" s="3" t="n">
        <v>21</v>
      </c>
      <c r="O46" s="3" t="s">
        <v>31</v>
      </c>
      <c r="P46" s="3" t="s">
        <v>32</v>
      </c>
      <c r="Q46" s="3" t="n">
        <v>6</v>
      </c>
      <c r="R46" s="3" t="n">
        <v>8</v>
      </c>
      <c r="S46" s="3" t="s">
        <v>33</v>
      </c>
      <c r="T46" s="6" t="n">
        <v>5.06</v>
      </c>
      <c r="U46" s="3" t="s">
        <v>33</v>
      </c>
      <c r="V46" s="3" t="str">
        <f aca="false">IF((10-Q46)+(10-R46)+IF(O46="Yes",3,0)+IF(S46="No",2,0)&gt;=14,"High",IF((10-Q46)+(10-R46)+IF(O46="Yes",3,0)+IF(S46="No",2,0)&gt;=8,"Medium","Low"))</f>
        <v>Medium</v>
      </c>
    </row>
    <row r="47" customFormat="false" ht="15" hidden="false" customHeight="false" outlineLevel="0" collapsed="false">
      <c r="A47" s="3" t="s">
        <v>161</v>
      </c>
      <c r="B47" s="3" t="s">
        <v>162</v>
      </c>
      <c r="C47" s="3" t="n">
        <v>47</v>
      </c>
      <c r="D47" s="3" t="s">
        <v>25</v>
      </c>
      <c r="E47" s="3" t="s">
        <v>50</v>
      </c>
      <c r="F47" s="3" t="s">
        <v>51</v>
      </c>
      <c r="G47" s="3" t="s">
        <v>77</v>
      </c>
      <c r="H47" s="3" t="s">
        <v>52</v>
      </c>
      <c r="I47" s="3" t="s">
        <v>61</v>
      </c>
      <c r="J47" s="4" t="n">
        <v>43851</v>
      </c>
      <c r="K47" s="3" t="n">
        <f aca="false">ROUND(($X$2-J47)/365,1)</f>
        <v>6</v>
      </c>
      <c r="L47" s="5" t="n">
        <v>36455.38</v>
      </c>
      <c r="M47" s="3" t="n">
        <v>2</v>
      </c>
      <c r="N47" s="3" t="n">
        <v>29</v>
      </c>
      <c r="O47" s="3" t="s">
        <v>33</v>
      </c>
      <c r="P47" s="3" t="s">
        <v>67</v>
      </c>
      <c r="Q47" s="3" t="n">
        <v>2</v>
      </c>
      <c r="R47" s="3" t="n">
        <v>5</v>
      </c>
      <c r="S47" s="3" t="s">
        <v>33</v>
      </c>
      <c r="T47" s="6" t="n">
        <v>10.48</v>
      </c>
      <c r="U47" s="3" t="s">
        <v>33</v>
      </c>
      <c r="V47" s="3" t="str">
        <f aca="false">IF((10-Q47)+(10-R47)+IF(O47="Yes",3,0)+IF(S47="No",2,0)&gt;=14,"High",IF((10-Q47)+(10-R47)+IF(O47="Yes",3,0)+IF(S47="No",2,0)&gt;=8,"Medium","Low"))</f>
        <v>High</v>
      </c>
    </row>
    <row r="48" customFormat="false" ht="15" hidden="false" customHeight="false" outlineLevel="0" collapsed="false">
      <c r="A48" s="3" t="s">
        <v>163</v>
      </c>
      <c r="B48" s="3" t="s">
        <v>164</v>
      </c>
      <c r="C48" s="3" t="n">
        <v>23</v>
      </c>
      <c r="D48" s="3" t="s">
        <v>25</v>
      </c>
      <c r="E48" s="3" t="s">
        <v>36</v>
      </c>
      <c r="F48" s="3" t="s">
        <v>165</v>
      </c>
      <c r="G48" s="3" t="s">
        <v>60</v>
      </c>
      <c r="H48" s="3" t="s">
        <v>52</v>
      </c>
      <c r="I48" s="3" t="s">
        <v>30</v>
      </c>
      <c r="J48" s="4" t="n">
        <v>43864</v>
      </c>
      <c r="K48" s="3" t="n">
        <f aca="false">ROUND(($X$2-J48)/365,1)</f>
        <v>5.9</v>
      </c>
      <c r="L48" s="5" t="n">
        <v>41107.62</v>
      </c>
      <c r="M48" s="3" t="n">
        <v>4</v>
      </c>
      <c r="N48" s="3" t="n">
        <v>22</v>
      </c>
      <c r="O48" s="3" t="s">
        <v>33</v>
      </c>
      <c r="P48" s="3" t="s">
        <v>32</v>
      </c>
      <c r="Q48" s="3" t="n">
        <v>7</v>
      </c>
      <c r="R48" s="3" t="n">
        <v>3</v>
      </c>
      <c r="S48" s="3" t="s">
        <v>33</v>
      </c>
      <c r="T48" s="6" t="n">
        <v>0.88</v>
      </c>
      <c r="U48" s="3" t="s">
        <v>31</v>
      </c>
      <c r="V48" s="3" t="str">
        <f aca="false">IF((10-Q48)+(10-R48)+IF(O48="Yes",3,0)+IF(S48="No",2,0)&gt;=14,"High",IF((10-Q48)+(10-R48)+IF(O48="Yes",3,0)+IF(S48="No",2,0)&gt;=8,"Medium","Low"))</f>
        <v>Medium</v>
      </c>
    </row>
    <row r="49" customFormat="false" ht="15" hidden="false" customHeight="false" outlineLevel="0" collapsed="false">
      <c r="A49" s="3" t="s">
        <v>166</v>
      </c>
      <c r="B49" s="3" t="s">
        <v>167</v>
      </c>
      <c r="C49" s="3" t="n">
        <v>47</v>
      </c>
      <c r="D49" s="3" t="s">
        <v>25</v>
      </c>
      <c r="E49" s="3" t="s">
        <v>26</v>
      </c>
      <c r="F49" s="3" t="s">
        <v>110</v>
      </c>
      <c r="G49" s="3" t="s">
        <v>77</v>
      </c>
      <c r="H49" s="3" t="s">
        <v>29</v>
      </c>
      <c r="I49" s="3" t="s">
        <v>97</v>
      </c>
      <c r="J49" s="4" t="n">
        <v>43865</v>
      </c>
      <c r="K49" s="3" t="n">
        <f aca="false">ROUND(($X$2-J49)/365,1)</f>
        <v>5.9</v>
      </c>
      <c r="L49" s="5" t="n">
        <v>31974.77</v>
      </c>
      <c r="M49" s="3" t="n">
        <v>4</v>
      </c>
      <c r="N49" s="3" t="n">
        <v>50</v>
      </c>
      <c r="O49" s="3" t="s">
        <v>31</v>
      </c>
      <c r="P49" s="3" t="s">
        <v>67</v>
      </c>
      <c r="Q49" s="3" t="n">
        <v>2</v>
      </c>
      <c r="R49" s="3" t="n">
        <v>5</v>
      </c>
      <c r="S49" s="3" t="s">
        <v>31</v>
      </c>
      <c r="T49" s="6" t="n">
        <v>4.56</v>
      </c>
      <c r="U49" s="3" t="s">
        <v>33</v>
      </c>
      <c r="V49" s="3" t="str">
        <f aca="false">IF((10-Q49)+(10-R49)+IF(O49="Yes",3,0)+IF(S49="No",2,0)&gt;=14,"High",IF((10-Q49)+(10-R49)+IF(O49="Yes",3,0)+IF(S49="No",2,0)&gt;=8,"Medium","Low"))</f>
        <v>High</v>
      </c>
    </row>
    <row r="50" customFormat="false" ht="15" hidden="false" customHeight="false" outlineLevel="0" collapsed="false">
      <c r="A50" s="3" t="s">
        <v>168</v>
      </c>
      <c r="B50" s="3" t="s">
        <v>169</v>
      </c>
      <c r="C50" s="3" t="n">
        <v>24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29</v>
      </c>
      <c r="I50" s="3" t="s">
        <v>61</v>
      </c>
      <c r="J50" s="4" t="n">
        <v>43878</v>
      </c>
      <c r="K50" s="3" t="n">
        <f aca="false">ROUND(($X$2-J50)/365,1)</f>
        <v>5.9</v>
      </c>
      <c r="L50" s="5" t="n">
        <v>178589.06</v>
      </c>
      <c r="M50" s="3" t="n">
        <v>3</v>
      </c>
      <c r="N50" s="3" t="n">
        <v>57</v>
      </c>
      <c r="O50" s="3" t="s">
        <v>31</v>
      </c>
      <c r="P50" s="3" t="s">
        <v>32</v>
      </c>
      <c r="Q50" s="3" t="n">
        <v>3</v>
      </c>
      <c r="R50" s="3" t="n">
        <v>5</v>
      </c>
      <c r="S50" s="3" t="s">
        <v>33</v>
      </c>
      <c r="T50" s="6" t="n">
        <v>13.37</v>
      </c>
      <c r="U50" s="3" t="s">
        <v>31</v>
      </c>
      <c r="V50" s="3" t="str">
        <f aca="false">IF((10-Q50)+(10-R50)+IF(O50="Yes",3,0)+IF(S50="No",2,0)&gt;=14,"High",IF((10-Q50)+(10-R50)+IF(O50="Yes",3,0)+IF(S50="No",2,0)&gt;=8,"Medium","Low"))</f>
        <v>High</v>
      </c>
    </row>
    <row r="51" customFormat="false" ht="15" hidden="false" customHeight="false" outlineLevel="0" collapsed="false">
      <c r="A51" s="3" t="s">
        <v>170</v>
      </c>
      <c r="B51" s="3" t="s">
        <v>171</v>
      </c>
      <c r="C51" s="3" t="n">
        <v>31</v>
      </c>
      <c r="D51" s="3" t="s">
        <v>25</v>
      </c>
      <c r="E51" s="3" t="s">
        <v>36</v>
      </c>
      <c r="F51" s="3" t="s">
        <v>37</v>
      </c>
      <c r="G51" s="3" t="s">
        <v>46</v>
      </c>
      <c r="H51" s="3" t="s">
        <v>52</v>
      </c>
      <c r="I51" s="3" t="s">
        <v>30</v>
      </c>
      <c r="J51" s="4" t="n">
        <v>43883</v>
      </c>
      <c r="K51" s="3" t="n">
        <f aca="false">ROUND(($X$2-J51)/365,1)</f>
        <v>5.9</v>
      </c>
      <c r="L51" s="5" t="n">
        <v>103574.54</v>
      </c>
      <c r="M51" s="3" t="n">
        <v>3</v>
      </c>
      <c r="N51" s="3" t="n">
        <v>0</v>
      </c>
      <c r="O51" s="3" t="s">
        <v>31</v>
      </c>
      <c r="P51" s="3" t="s">
        <v>40</v>
      </c>
      <c r="Q51" s="3" t="n">
        <v>9</v>
      </c>
      <c r="R51" s="3" t="n">
        <v>4</v>
      </c>
      <c r="S51" s="3" t="s">
        <v>31</v>
      </c>
      <c r="T51" s="6" t="n">
        <v>6.62</v>
      </c>
      <c r="U51" s="3" t="s">
        <v>31</v>
      </c>
      <c r="V51" s="3" t="str">
        <f aca="false">IF((10-Q51)+(10-R51)+IF(O51="Yes",3,0)+IF(S51="No",2,0)&gt;=14,"High",IF((10-Q51)+(10-R51)+IF(O51="Yes",3,0)+IF(S51="No",2,0)&gt;=8,"Medium","Low"))</f>
        <v>Medium</v>
      </c>
    </row>
    <row r="52" customFormat="false" ht="15" hidden="false" customHeight="false" outlineLevel="0" collapsed="false">
      <c r="A52" s="3" t="s">
        <v>172</v>
      </c>
      <c r="B52" s="3" t="s">
        <v>173</v>
      </c>
      <c r="C52" s="3" t="n">
        <v>53</v>
      </c>
      <c r="D52" s="3" t="s">
        <v>25</v>
      </c>
      <c r="E52" s="3" t="s">
        <v>26</v>
      </c>
      <c r="F52" s="3" t="s">
        <v>174</v>
      </c>
      <c r="G52" s="3" t="s">
        <v>60</v>
      </c>
      <c r="H52" s="3" t="s">
        <v>52</v>
      </c>
      <c r="I52" s="3" t="s">
        <v>97</v>
      </c>
      <c r="J52" s="4" t="n">
        <v>43909</v>
      </c>
      <c r="K52" s="3" t="n">
        <f aca="false">ROUND(($X$2-J52)/365,1)</f>
        <v>5.8</v>
      </c>
      <c r="L52" s="5" t="n">
        <v>60744.27</v>
      </c>
      <c r="M52" s="3" t="n">
        <v>5</v>
      </c>
      <c r="N52" s="3" t="n">
        <v>46</v>
      </c>
      <c r="O52" s="3" t="s">
        <v>31</v>
      </c>
      <c r="P52" s="3" t="s">
        <v>67</v>
      </c>
      <c r="Q52" s="3" t="n">
        <v>9</v>
      </c>
      <c r="R52" s="3" t="n">
        <v>8</v>
      </c>
      <c r="S52" s="3" t="s">
        <v>33</v>
      </c>
      <c r="T52" s="6" t="n">
        <v>3.02</v>
      </c>
      <c r="U52" s="3" t="s">
        <v>33</v>
      </c>
      <c r="V52" s="3" t="str">
        <f aca="false">IF((10-Q52)+(10-R52)+IF(O52="Yes",3,0)+IF(S52="No",2,0)&gt;=14,"High",IF((10-Q52)+(10-R52)+IF(O52="Yes",3,0)+IF(S52="No",2,0)&gt;=8,"Medium","Low"))</f>
        <v>Medium</v>
      </c>
    </row>
    <row r="53" customFormat="false" ht="15" hidden="false" customHeight="false" outlineLevel="0" collapsed="false">
      <c r="A53" s="3" t="s">
        <v>175</v>
      </c>
      <c r="B53" s="3" t="s">
        <v>176</v>
      </c>
      <c r="C53" s="3" t="n">
        <v>58</v>
      </c>
      <c r="D53" s="3" t="s">
        <v>43</v>
      </c>
      <c r="E53" s="3" t="s">
        <v>64</v>
      </c>
      <c r="F53" s="3" t="s">
        <v>115</v>
      </c>
      <c r="G53" s="3" t="s">
        <v>60</v>
      </c>
      <c r="H53" s="3" t="s">
        <v>29</v>
      </c>
      <c r="I53" s="3" t="s">
        <v>97</v>
      </c>
      <c r="J53" s="4" t="n">
        <v>43912</v>
      </c>
      <c r="K53" s="3" t="n">
        <f aca="false">ROUND(($X$2-J53)/365,1)</f>
        <v>5.8</v>
      </c>
      <c r="L53" s="5" t="n">
        <v>87409.98</v>
      </c>
      <c r="M53" s="3" t="n">
        <v>5</v>
      </c>
      <c r="N53" s="3" t="n">
        <v>39</v>
      </c>
      <c r="O53" s="3" t="s">
        <v>31</v>
      </c>
      <c r="P53" s="3" t="s">
        <v>32</v>
      </c>
      <c r="Q53" s="3" t="n">
        <v>1</v>
      </c>
      <c r="R53" s="3" t="n">
        <v>6</v>
      </c>
      <c r="S53" s="3" t="s">
        <v>33</v>
      </c>
      <c r="T53" s="6" t="n">
        <v>4.49</v>
      </c>
      <c r="U53" s="3" t="s">
        <v>31</v>
      </c>
      <c r="V53" s="3" t="str">
        <f aca="false">IF((10-Q53)+(10-R53)+IF(O53="Yes",3,0)+IF(S53="No",2,0)&gt;=14,"High",IF((10-Q53)+(10-R53)+IF(O53="Yes",3,0)+IF(S53="No",2,0)&gt;=8,"Medium","Low"))</f>
        <v>High</v>
      </c>
    </row>
    <row r="54" customFormat="false" ht="15" hidden="false" customHeight="false" outlineLevel="0" collapsed="false">
      <c r="A54" s="3" t="s">
        <v>177</v>
      </c>
      <c r="B54" s="3" t="s">
        <v>178</v>
      </c>
      <c r="C54" s="3" t="n">
        <v>40</v>
      </c>
      <c r="D54" s="3" t="s">
        <v>25</v>
      </c>
      <c r="E54" s="3" t="s">
        <v>44</v>
      </c>
      <c r="F54" s="3" t="s">
        <v>70</v>
      </c>
      <c r="G54" s="3" t="s">
        <v>77</v>
      </c>
      <c r="H54" s="3" t="s">
        <v>29</v>
      </c>
      <c r="I54" s="3" t="s">
        <v>39</v>
      </c>
      <c r="J54" s="4" t="n">
        <v>43912</v>
      </c>
      <c r="K54" s="3" t="n">
        <f aca="false">ROUND(($X$2-J54)/365,1)</f>
        <v>5.8</v>
      </c>
      <c r="L54" s="5" t="n">
        <v>73409.41</v>
      </c>
      <c r="M54" s="3" t="n">
        <v>5</v>
      </c>
      <c r="N54" s="3" t="n">
        <v>59</v>
      </c>
      <c r="O54" s="3" t="s">
        <v>31</v>
      </c>
      <c r="P54" s="3" t="s">
        <v>40</v>
      </c>
      <c r="Q54" s="3" t="n">
        <v>5</v>
      </c>
      <c r="R54" s="3" t="n">
        <v>8</v>
      </c>
      <c r="S54" s="3" t="s">
        <v>33</v>
      </c>
      <c r="T54" s="6" t="n">
        <v>3.46</v>
      </c>
      <c r="U54" s="3" t="s">
        <v>33</v>
      </c>
      <c r="V54" s="3" t="str">
        <f aca="false">IF((10-Q54)+(10-R54)+IF(O54="Yes",3,0)+IF(S54="No",2,0)&gt;=14,"High",IF((10-Q54)+(10-R54)+IF(O54="Yes",3,0)+IF(S54="No",2,0)&gt;=8,"Medium","Low"))</f>
        <v>Medium</v>
      </c>
    </row>
    <row r="55" customFormat="false" ht="15" hidden="false" customHeight="false" outlineLevel="0" collapsed="false">
      <c r="A55" s="3" t="s">
        <v>179</v>
      </c>
      <c r="B55" s="3" t="s">
        <v>180</v>
      </c>
      <c r="C55" s="3" t="n">
        <v>57</v>
      </c>
      <c r="D55" s="3" t="s">
        <v>25</v>
      </c>
      <c r="E55" s="3" t="s">
        <v>26</v>
      </c>
      <c r="F55" s="3" t="s">
        <v>174</v>
      </c>
      <c r="G55" s="3" t="s">
        <v>60</v>
      </c>
      <c r="H55" s="3" t="s">
        <v>52</v>
      </c>
      <c r="I55" s="3" t="s">
        <v>97</v>
      </c>
      <c r="J55" s="4" t="n">
        <v>43933</v>
      </c>
      <c r="K55" s="3" t="n">
        <f aca="false">ROUND(($X$2-J55)/365,1)</f>
        <v>5.7</v>
      </c>
      <c r="L55" s="5" t="n">
        <v>137968.33</v>
      </c>
      <c r="M55" s="3" t="n">
        <v>2</v>
      </c>
      <c r="N55" s="3" t="n">
        <v>34</v>
      </c>
      <c r="O55" s="3" t="s">
        <v>31</v>
      </c>
      <c r="P55" s="3" t="s">
        <v>67</v>
      </c>
      <c r="Q55" s="3" t="n">
        <v>4</v>
      </c>
      <c r="R55" s="3" t="n">
        <v>4</v>
      </c>
      <c r="S55" s="3" t="s">
        <v>31</v>
      </c>
      <c r="T55" s="6" t="n">
        <v>3.67</v>
      </c>
      <c r="U55" s="3" t="s">
        <v>31</v>
      </c>
      <c r="V55" s="3" t="str">
        <f aca="false">IF((10-Q55)+(10-R55)+IF(O55="Yes",3,0)+IF(S55="No",2,0)&gt;=14,"High",IF((10-Q55)+(10-R55)+IF(O55="Yes",3,0)+IF(S55="No",2,0)&gt;=8,"Medium","Low"))</f>
        <v>High</v>
      </c>
    </row>
    <row r="56" customFormat="false" ht="15" hidden="false" customHeight="false" outlineLevel="0" collapsed="false">
      <c r="A56" s="3" t="s">
        <v>181</v>
      </c>
      <c r="B56" s="3" t="s">
        <v>182</v>
      </c>
      <c r="C56" s="3" t="n">
        <v>47</v>
      </c>
      <c r="D56" s="3" t="s">
        <v>43</v>
      </c>
      <c r="E56" s="3" t="s">
        <v>26</v>
      </c>
      <c r="F56" s="3" t="s">
        <v>27</v>
      </c>
      <c r="G56" s="3" t="s">
        <v>46</v>
      </c>
      <c r="H56" s="3" t="s">
        <v>52</v>
      </c>
      <c r="I56" s="3" t="s">
        <v>81</v>
      </c>
      <c r="J56" s="4" t="n">
        <v>43945</v>
      </c>
      <c r="K56" s="3" t="n">
        <f aca="false">ROUND(($X$2-J56)/365,1)</f>
        <v>5.7</v>
      </c>
      <c r="L56" s="5" t="n">
        <v>30927.35</v>
      </c>
      <c r="M56" s="3" t="n">
        <v>2</v>
      </c>
      <c r="N56" s="3" t="n">
        <v>3</v>
      </c>
      <c r="O56" s="3" t="s">
        <v>33</v>
      </c>
      <c r="P56" s="3" t="s">
        <v>32</v>
      </c>
      <c r="Q56" s="3" t="n">
        <v>7</v>
      </c>
      <c r="R56" s="3" t="n">
        <v>10</v>
      </c>
      <c r="S56" s="3" t="s">
        <v>31</v>
      </c>
      <c r="T56" s="6" t="n">
        <v>8.51</v>
      </c>
      <c r="U56" s="3" t="s">
        <v>33</v>
      </c>
      <c r="V56" s="3" t="str">
        <f aca="false">IF((10-Q56)+(10-R56)+IF(O56="Yes",3,0)+IF(S56="No",2,0)&gt;=14,"High",IF((10-Q56)+(10-R56)+IF(O56="Yes",3,0)+IF(S56="No",2,0)&gt;=8,"Medium","Low"))</f>
        <v>Low</v>
      </c>
    </row>
    <row r="57" customFormat="false" ht="15" hidden="false" customHeight="false" outlineLevel="0" collapsed="false">
      <c r="A57" s="3" t="s">
        <v>183</v>
      </c>
      <c r="B57" s="3" t="s">
        <v>184</v>
      </c>
      <c r="C57" s="3" t="n">
        <v>50</v>
      </c>
      <c r="D57" s="3" t="s">
        <v>43</v>
      </c>
      <c r="E57" s="3" t="s">
        <v>73</v>
      </c>
      <c r="F57" s="3" t="s">
        <v>92</v>
      </c>
      <c r="G57" s="3" t="s">
        <v>28</v>
      </c>
      <c r="H57" s="3" t="s">
        <v>52</v>
      </c>
      <c r="I57" s="3" t="s">
        <v>61</v>
      </c>
      <c r="J57" s="4" t="n">
        <v>43947</v>
      </c>
      <c r="K57" s="3" t="n">
        <f aca="false">ROUND(($X$2-J57)/365,1)</f>
        <v>5.7</v>
      </c>
      <c r="L57" s="5" t="n">
        <v>152140.1</v>
      </c>
      <c r="M57" s="3" t="n">
        <v>5</v>
      </c>
      <c r="N57" s="3" t="n">
        <v>24</v>
      </c>
      <c r="O57" s="3" t="s">
        <v>31</v>
      </c>
      <c r="P57" s="3" t="s">
        <v>32</v>
      </c>
      <c r="Q57" s="3" t="n">
        <v>10</v>
      </c>
      <c r="R57" s="3" t="n">
        <v>3</v>
      </c>
      <c r="S57" s="3" t="s">
        <v>31</v>
      </c>
      <c r="T57" s="6" t="n">
        <v>2.51</v>
      </c>
      <c r="U57" s="3" t="s">
        <v>33</v>
      </c>
      <c r="V57" s="3" t="str">
        <f aca="false">IF((10-Q57)+(10-R57)+IF(O57="Yes",3,0)+IF(S57="No",2,0)&gt;=14,"High",IF((10-Q57)+(10-R57)+IF(O57="Yes",3,0)+IF(S57="No",2,0)&gt;=8,"Medium","Low"))</f>
        <v>Medium</v>
      </c>
    </row>
    <row r="58" customFormat="false" ht="15" hidden="false" customHeight="false" outlineLevel="0" collapsed="false">
      <c r="A58" s="3" t="s">
        <v>185</v>
      </c>
      <c r="B58" s="3" t="s">
        <v>104</v>
      </c>
      <c r="C58" s="3" t="n">
        <v>31</v>
      </c>
      <c r="D58" s="3" t="s">
        <v>25</v>
      </c>
      <c r="E58" s="3" t="s">
        <v>36</v>
      </c>
      <c r="F58" s="3" t="s">
        <v>100</v>
      </c>
      <c r="G58" s="3" t="s">
        <v>77</v>
      </c>
      <c r="H58" s="3" t="s">
        <v>29</v>
      </c>
      <c r="I58" s="3" t="s">
        <v>39</v>
      </c>
      <c r="J58" s="4" t="n">
        <v>43964</v>
      </c>
      <c r="K58" s="3" t="n">
        <f aca="false">ROUND(($X$2-J58)/365,1)</f>
        <v>5.6</v>
      </c>
      <c r="L58" s="5" t="n">
        <v>47323.95</v>
      </c>
      <c r="M58" s="3" t="n">
        <v>4</v>
      </c>
      <c r="N58" s="3" t="n">
        <v>30</v>
      </c>
      <c r="O58" s="3" t="s">
        <v>31</v>
      </c>
      <c r="P58" s="3" t="s">
        <v>40</v>
      </c>
      <c r="Q58" s="3" t="n">
        <v>7</v>
      </c>
      <c r="R58" s="3" t="n">
        <v>2</v>
      </c>
      <c r="S58" s="3" t="s">
        <v>31</v>
      </c>
      <c r="T58" s="6" t="n">
        <v>8.3</v>
      </c>
      <c r="U58" s="3" t="s">
        <v>31</v>
      </c>
      <c r="V58" s="3" t="str">
        <f aca="false">IF((10-Q58)+(10-R58)+IF(O58="Yes",3,0)+IF(S58="No",2,0)&gt;=14,"High",IF((10-Q58)+(10-R58)+IF(O58="Yes",3,0)+IF(S58="No",2,0)&gt;=8,"Medium","Low"))</f>
        <v>High</v>
      </c>
    </row>
    <row r="59" customFormat="false" ht="15" hidden="false" customHeight="false" outlineLevel="0" collapsed="false">
      <c r="A59" s="3" t="s">
        <v>186</v>
      </c>
      <c r="B59" s="3" t="s">
        <v>187</v>
      </c>
      <c r="C59" s="3" t="n">
        <v>25</v>
      </c>
      <c r="D59" s="3" t="s">
        <v>43</v>
      </c>
      <c r="E59" s="3" t="s">
        <v>73</v>
      </c>
      <c r="F59" s="3" t="s">
        <v>92</v>
      </c>
      <c r="G59" s="3" t="s">
        <v>77</v>
      </c>
      <c r="H59" s="3" t="s">
        <v>38</v>
      </c>
      <c r="I59" s="3" t="s">
        <v>66</v>
      </c>
      <c r="J59" s="4" t="n">
        <v>43993</v>
      </c>
      <c r="K59" s="3" t="n">
        <f aca="false">ROUND(($X$2-J59)/365,1)</f>
        <v>5.6</v>
      </c>
      <c r="L59" s="5" t="n">
        <v>115356.09</v>
      </c>
      <c r="M59" s="3" t="n">
        <v>3</v>
      </c>
      <c r="N59" s="3" t="n">
        <v>46</v>
      </c>
      <c r="O59" s="3" t="s">
        <v>31</v>
      </c>
      <c r="P59" s="3" t="s">
        <v>67</v>
      </c>
      <c r="Q59" s="3" t="n">
        <v>8</v>
      </c>
      <c r="R59" s="3" t="n">
        <v>5</v>
      </c>
      <c r="S59" s="3" t="s">
        <v>33</v>
      </c>
      <c r="T59" s="6" t="n">
        <v>6.52</v>
      </c>
      <c r="U59" s="3" t="s">
        <v>33</v>
      </c>
      <c r="V59" s="3" t="str">
        <f aca="false">IF((10-Q59)+(10-R59)+IF(O59="Yes",3,0)+IF(S59="No",2,0)&gt;=14,"High",IF((10-Q59)+(10-R59)+IF(O59="Yes",3,0)+IF(S59="No",2,0)&gt;=8,"Medium","Low"))</f>
        <v>Medium</v>
      </c>
    </row>
    <row r="60" customFormat="false" ht="15" hidden="false" customHeight="false" outlineLevel="0" collapsed="false">
      <c r="A60" s="3" t="s">
        <v>188</v>
      </c>
      <c r="B60" s="3" t="s">
        <v>189</v>
      </c>
      <c r="C60" s="3" t="n">
        <v>34</v>
      </c>
      <c r="D60" s="3" t="s">
        <v>25</v>
      </c>
      <c r="E60" s="3" t="s">
        <v>73</v>
      </c>
      <c r="F60" s="3" t="s">
        <v>147</v>
      </c>
      <c r="G60" s="3" t="s">
        <v>60</v>
      </c>
      <c r="H60" s="3" t="s">
        <v>52</v>
      </c>
      <c r="I60" s="3" t="s">
        <v>39</v>
      </c>
      <c r="J60" s="4" t="n">
        <v>43998</v>
      </c>
      <c r="K60" s="3" t="n">
        <f aca="false">ROUND(($X$2-J60)/365,1)</f>
        <v>5.5</v>
      </c>
      <c r="L60" s="5" t="n">
        <v>61553.28</v>
      </c>
      <c r="M60" s="3" t="n">
        <v>1</v>
      </c>
      <c r="N60" s="3" t="n">
        <v>46</v>
      </c>
      <c r="O60" s="3" t="s">
        <v>33</v>
      </c>
      <c r="P60" s="3" t="s">
        <v>32</v>
      </c>
      <c r="Q60" s="3" t="n">
        <v>9</v>
      </c>
      <c r="R60" s="3" t="n">
        <v>3</v>
      </c>
      <c r="S60" s="3" t="s">
        <v>31</v>
      </c>
      <c r="T60" s="6" t="n">
        <v>10.64</v>
      </c>
      <c r="U60" s="3" t="s">
        <v>33</v>
      </c>
      <c r="V60" s="3" t="str">
        <f aca="false">IF((10-Q60)+(10-R60)+IF(O60="Yes",3,0)+IF(S60="No",2,0)&gt;=14,"High",IF((10-Q60)+(10-R60)+IF(O60="Yes",3,0)+IF(S60="No",2,0)&gt;=8,"Medium","Low"))</f>
        <v>Medium</v>
      </c>
    </row>
    <row r="61" customFormat="false" ht="15" hidden="false" customHeight="false" outlineLevel="0" collapsed="false">
      <c r="A61" s="3" t="s">
        <v>190</v>
      </c>
      <c r="B61" s="3" t="s">
        <v>191</v>
      </c>
      <c r="C61" s="3" t="n">
        <v>51</v>
      </c>
      <c r="D61" s="3" t="s">
        <v>43</v>
      </c>
      <c r="E61" s="3" t="s">
        <v>44</v>
      </c>
      <c r="F61" s="3" t="s">
        <v>59</v>
      </c>
      <c r="G61" s="3" t="s">
        <v>60</v>
      </c>
      <c r="H61" s="3" t="s">
        <v>29</v>
      </c>
      <c r="I61" s="3" t="s">
        <v>66</v>
      </c>
      <c r="J61" s="4" t="n">
        <v>44011</v>
      </c>
      <c r="K61" s="3" t="n">
        <f aca="false">ROUND(($X$2-J61)/365,1)</f>
        <v>5.5</v>
      </c>
      <c r="L61" s="5" t="n">
        <v>155555.73</v>
      </c>
      <c r="M61" s="3" t="n">
        <v>5</v>
      </c>
      <c r="N61" s="3" t="n">
        <v>11</v>
      </c>
      <c r="O61" s="3" t="s">
        <v>31</v>
      </c>
      <c r="P61" s="3" t="s">
        <v>32</v>
      </c>
      <c r="Q61" s="3" t="n">
        <v>10</v>
      </c>
      <c r="R61" s="3" t="n">
        <v>8</v>
      </c>
      <c r="S61" s="3" t="s">
        <v>31</v>
      </c>
      <c r="T61" s="6" t="n">
        <v>5.65</v>
      </c>
      <c r="U61" s="3" t="s">
        <v>31</v>
      </c>
      <c r="V61" s="3" t="str">
        <f aca="false">IF((10-Q61)+(10-R61)+IF(O61="Yes",3,0)+IF(S61="No",2,0)&gt;=14,"High",IF((10-Q61)+(10-R61)+IF(O61="Yes",3,0)+IF(S61="No",2,0)&gt;=8,"Medium","Low"))</f>
        <v>Low</v>
      </c>
    </row>
    <row r="62" customFormat="false" ht="15" hidden="false" customHeight="false" outlineLevel="0" collapsed="false">
      <c r="A62" s="3" t="s">
        <v>192</v>
      </c>
      <c r="B62" s="3" t="s">
        <v>99</v>
      </c>
      <c r="C62" s="3" t="n">
        <v>46</v>
      </c>
      <c r="D62" s="3" t="s">
        <v>43</v>
      </c>
      <c r="E62" s="3" t="s">
        <v>73</v>
      </c>
      <c r="F62" s="3" t="s">
        <v>92</v>
      </c>
      <c r="G62" s="3" t="s">
        <v>60</v>
      </c>
      <c r="H62" s="3" t="s">
        <v>38</v>
      </c>
      <c r="I62" s="3" t="s">
        <v>39</v>
      </c>
      <c r="J62" s="4" t="n">
        <v>44013</v>
      </c>
      <c r="K62" s="3" t="n">
        <f aca="false">ROUND(($X$2-J62)/365,1)</f>
        <v>5.5</v>
      </c>
      <c r="L62" s="5" t="n">
        <v>96278.32</v>
      </c>
      <c r="M62" s="3" t="n">
        <v>3</v>
      </c>
      <c r="N62" s="3" t="n">
        <v>55</v>
      </c>
      <c r="O62" s="3" t="s">
        <v>33</v>
      </c>
      <c r="P62" s="3" t="s">
        <v>40</v>
      </c>
      <c r="Q62" s="3" t="n">
        <v>6</v>
      </c>
      <c r="R62" s="3" t="n">
        <v>5</v>
      </c>
      <c r="S62" s="3" t="s">
        <v>31</v>
      </c>
      <c r="T62" s="6" t="n">
        <v>7.55</v>
      </c>
      <c r="U62" s="3" t="s">
        <v>31</v>
      </c>
      <c r="V62" s="3" t="str">
        <f aca="false">IF((10-Q62)+(10-R62)+IF(O62="Yes",3,0)+IF(S62="No",2,0)&gt;=14,"High",IF((10-Q62)+(10-R62)+IF(O62="Yes",3,0)+IF(S62="No",2,0)&gt;=8,"Medium","Low"))</f>
        <v>Medium</v>
      </c>
    </row>
    <row r="63" customFormat="false" ht="15" hidden="false" customHeight="false" outlineLevel="0" collapsed="false">
      <c r="A63" s="3" t="s">
        <v>193</v>
      </c>
      <c r="B63" s="3" t="s">
        <v>194</v>
      </c>
      <c r="C63" s="3" t="n">
        <v>56</v>
      </c>
      <c r="D63" s="3" t="s">
        <v>25</v>
      </c>
      <c r="E63" s="3" t="s">
        <v>36</v>
      </c>
      <c r="F63" s="3" t="s">
        <v>37</v>
      </c>
      <c r="G63" s="3" t="s">
        <v>60</v>
      </c>
      <c r="H63" s="3" t="s">
        <v>29</v>
      </c>
      <c r="I63" s="3" t="s">
        <v>30</v>
      </c>
      <c r="J63" s="4" t="n">
        <v>44070</v>
      </c>
      <c r="K63" s="3" t="n">
        <f aca="false">ROUND(($X$2-J63)/365,1)</f>
        <v>5.4</v>
      </c>
      <c r="L63" s="5" t="n">
        <v>158935.06</v>
      </c>
      <c r="M63" s="3" t="n">
        <v>3</v>
      </c>
      <c r="N63" s="3" t="n">
        <v>5</v>
      </c>
      <c r="O63" s="3" t="s">
        <v>33</v>
      </c>
      <c r="P63" s="3" t="s">
        <v>40</v>
      </c>
      <c r="Q63" s="3" t="n">
        <v>10</v>
      </c>
      <c r="R63" s="3" t="n">
        <v>3</v>
      </c>
      <c r="S63" s="3" t="s">
        <v>33</v>
      </c>
      <c r="T63" s="6" t="n">
        <v>7.78</v>
      </c>
      <c r="U63" s="3" t="s">
        <v>33</v>
      </c>
      <c r="V63" s="3" t="str">
        <f aca="false">IF((10-Q63)+(10-R63)+IF(O63="Yes",3,0)+IF(S63="No",2,0)&gt;=14,"High",IF((10-Q63)+(10-R63)+IF(O63="Yes",3,0)+IF(S63="No",2,0)&gt;=8,"Medium","Low"))</f>
        <v>Medium</v>
      </c>
    </row>
    <row r="64" customFormat="false" ht="15" hidden="false" customHeight="false" outlineLevel="0" collapsed="false">
      <c r="A64" s="3" t="s">
        <v>195</v>
      </c>
      <c r="B64" s="3" t="s">
        <v>196</v>
      </c>
      <c r="C64" s="3" t="n">
        <v>47</v>
      </c>
      <c r="D64" s="3" t="s">
        <v>25</v>
      </c>
      <c r="E64" s="3" t="s">
        <v>50</v>
      </c>
      <c r="F64" s="3" t="s">
        <v>87</v>
      </c>
      <c r="G64" s="3" t="s">
        <v>77</v>
      </c>
      <c r="H64" s="3" t="s">
        <v>52</v>
      </c>
      <c r="I64" s="3" t="s">
        <v>116</v>
      </c>
      <c r="J64" s="4" t="n">
        <v>44085</v>
      </c>
      <c r="K64" s="3" t="n">
        <f aca="false">ROUND(($X$2-J64)/365,1)</f>
        <v>5.3</v>
      </c>
      <c r="L64" s="5" t="n">
        <v>100234.6</v>
      </c>
      <c r="M64" s="3" t="n">
        <v>4</v>
      </c>
      <c r="N64" s="3" t="n">
        <v>18</v>
      </c>
      <c r="O64" s="3" t="s">
        <v>31</v>
      </c>
      <c r="P64" s="3" t="s">
        <v>32</v>
      </c>
      <c r="Q64" s="3" t="n">
        <v>9</v>
      </c>
      <c r="R64" s="3" t="n">
        <v>8</v>
      </c>
      <c r="S64" s="3" t="s">
        <v>33</v>
      </c>
      <c r="T64" s="6" t="n">
        <v>11.57</v>
      </c>
      <c r="U64" s="3" t="s">
        <v>33</v>
      </c>
      <c r="V64" s="3" t="str">
        <f aca="false">IF((10-Q64)+(10-R64)+IF(O64="Yes",3,0)+IF(S64="No",2,0)&gt;=14,"High",IF((10-Q64)+(10-R64)+IF(O64="Yes",3,0)+IF(S64="No",2,0)&gt;=8,"Medium","Low"))</f>
        <v>Medium</v>
      </c>
    </row>
    <row r="65" customFormat="false" ht="15" hidden="false" customHeight="false" outlineLevel="0" collapsed="false">
      <c r="A65" s="3" t="s">
        <v>197</v>
      </c>
      <c r="B65" s="3" t="s">
        <v>198</v>
      </c>
      <c r="C65" s="3" t="n">
        <v>52</v>
      </c>
      <c r="D65" s="3" t="s">
        <v>25</v>
      </c>
      <c r="E65" s="3" t="s">
        <v>44</v>
      </c>
      <c r="F65" s="3" t="s">
        <v>70</v>
      </c>
      <c r="G65" s="3" t="s">
        <v>46</v>
      </c>
      <c r="H65" s="3" t="s">
        <v>29</v>
      </c>
      <c r="I65" s="3" t="s">
        <v>81</v>
      </c>
      <c r="J65" s="4" t="n">
        <v>44105</v>
      </c>
      <c r="K65" s="3" t="n">
        <f aca="false">ROUND(($X$2-J65)/365,1)</f>
        <v>5.3</v>
      </c>
      <c r="L65" s="5" t="n">
        <v>103548.43</v>
      </c>
      <c r="M65" s="3" t="n">
        <v>4</v>
      </c>
      <c r="N65" s="3" t="n">
        <v>24</v>
      </c>
      <c r="O65" s="3" t="s">
        <v>33</v>
      </c>
      <c r="P65" s="3" t="s">
        <v>32</v>
      </c>
      <c r="Q65" s="3" t="n">
        <v>7</v>
      </c>
      <c r="R65" s="3" t="n">
        <v>9</v>
      </c>
      <c r="S65" s="3" t="s">
        <v>31</v>
      </c>
      <c r="T65" s="6" t="n">
        <v>2.43</v>
      </c>
      <c r="U65" s="3" t="s">
        <v>33</v>
      </c>
      <c r="V65" s="3" t="str">
        <f aca="false">IF((10-Q65)+(10-R65)+IF(O65="Yes",3,0)+IF(S65="No",2,0)&gt;=14,"High",IF((10-Q65)+(10-R65)+IF(O65="Yes",3,0)+IF(S65="No",2,0)&gt;=8,"Medium","Low"))</f>
        <v>Low</v>
      </c>
    </row>
    <row r="66" customFormat="false" ht="15" hidden="false" customHeight="false" outlineLevel="0" collapsed="false">
      <c r="A66" s="3" t="s">
        <v>199</v>
      </c>
      <c r="B66" s="3" t="s">
        <v>200</v>
      </c>
      <c r="C66" s="3" t="n">
        <v>32</v>
      </c>
      <c r="D66" s="3" t="s">
        <v>43</v>
      </c>
      <c r="E66" s="3" t="s">
        <v>55</v>
      </c>
      <c r="F66" s="3" t="s">
        <v>121</v>
      </c>
      <c r="G66" s="3" t="s">
        <v>28</v>
      </c>
      <c r="H66" s="3" t="s">
        <v>38</v>
      </c>
      <c r="I66" s="3" t="s">
        <v>81</v>
      </c>
      <c r="J66" s="4" t="n">
        <v>44107</v>
      </c>
      <c r="K66" s="3" t="n">
        <f aca="false">ROUND(($X$2-J66)/365,1)</f>
        <v>5.2</v>
      </c>
      <c r="L66" s="5" t="n">
        <v>44213.9</v>
      </c>
      <c r="M66" s="3" t="n">
        <v>1</v>
      </c>
      <c r="N66" s="3" t="n">
        <v>59</v>
      </c>
      <c r="O66" s="3" t="s">
        <v>31</v>
      </c>
      <c r="P66" s="3" t="s">
        <v>40</v>
      </c>
      <c r="Q66" s="3" t="n">
        <v>6</v>
      </c>
      <c r="R66" s="3" t="n">
        <v>3</v>
      </c>
      <c r="S66" s="3" t="s">
        <v>31</v>
      </c>
      <c r="T66" s="6" t="n">
        <v>10.14</v>
      </c>
      <c r="U66" s="3" t="s">
        <v>33</v>
      </c>
      <c r="V66" s="3" t="str">
        <f aca="false">IF((10-Q66)+(10-R66)+IF(O66="Yes",3,0)+IF(S66="No",2,0)&gt;=14,"High",IF((10-Q66)+(10-R66)+IF(O66="Yes",3,0)+IF(S66="No",2,0)&gt;=8,"Medium","Low"))</f>
        <v>High</v>
      </c>
    </row>
    <row r="67" customFormat="false" ht="15" hidden="false" customHeight="false" outlineLevel="0" collapsed="false">
      <c r="A67" s="3" t="s">
        <v>201</v>
      </c>
      <c r="B67" s="3" t="s">
        <v>202</v>
      </c>
      <c r="C67" s="3" t="n">
        <v>32</v>
      </c>
      <c r="D67" s="3" t="s">
        <v>25</v>
      </c>
      <c r="E67" s="3" t="s">
        <v>50</v>
      </c>
      <c r="F67" s="3" t="s">
        <v>51</v>
      </c>
      <c r="G67" s="3" t="s">
        <v>60</v>
      </c>
      <c r="H67" s="3" t="s">
        <v>38</v>
      </c>
      <c r="I67" s="3" t="s">
        <v>116</v>
      </c>
      <c r="J67" s="4" t="n">
        <v>44108</v>
      </c>
      <c r="K67" s="3" t="n">
        <f aca="false">ROUND(($X$2-J67)/365,1)</f>
        <v>5.2</v>
      </c>
      <c r="L67" s="5" t="n">
        <v>53479.93</v>
      </c>
      <c r="M67" s="3" t="n">
        <v>1</v>
      </c>
      <c r="N67" s="3" t="n">
        <v>28</v>
      </c>
      <c r="O67" s="3" t="s">
        <v>33</v>
      </c>
      <c r="P67" s="3" t="s">
        <v>32</v>
      </c>
      <c r="Q67" s="3" t="n">
        <v>8</v>
      </c>
      <c r="R67" s="3" t="n">
        <v>1</v>
      </c>
      <c r="S67" s="3" t="s">
        <v>33</v>
      </c>
      <c r="T67" s="6" t="n">
        <v>0.78</v>
      </c>
      <c r="U67" s="3" t="s">
        <v>31</v>
      </c>
      <c r="V67" s="3" t="str">
        <f aca="false">IF((10-Q67)+(10-R67)+IF(O67="Yes",3,0)+IF(S67="No",2,0)&gt;=14,"High",IF((10-Q67)+(10-R67)+IF(O67="Yes",3,0)+IF(S67="No",2,0)&gt;=8,"Medium","Low"))</f>
        <v>Medium</v>
      </c>
    </row>
    <row r="68" customFormat="false" ht="15" hidden="false" customHeight="false" outlineLevel="0" collapsed="false">
      <c r="A68" s="3" t="s">
        <v>203</v>
      </c>
      <c r="B68" s="3" t="s">
        <v>204</v>
      </c>
      <c r="C68" s="3" t="n">
        <v>33</v>
      </c>
      <c r="D68" s="3" t="s">
        <v>25</v>
      </c>
      <c r="E68" s="3" t="s">
        <v>44</v>
      </c>
      <c r="F68" s="3" t="s">
        <v>45</v>
      </c>
      <c r="G68" s="3" t="s">
        <v>60</v>
      </c>
      <c r="H68" s="3" t="s">
        <v>38</v>
      </c>
      <c r="I68" s="3" t="s">
        <v>97</v>
      </c>
      <c r="J68" s="4" t="n">
        <v>44163</v>
      </c>
      <c r="K68" s="3" t="n">
        <f aca="false">ROUND(($X$2-J68)/365,1)</f>
        <v>5.1</v>
      </c>
      <c r="L68" s="5" t="n">
        <v>98111.56</v>
      </c>
      <c r="M68" s="3" t="n">
        <v>5</v>
      </c>
      <c r="N68" s="3" t="n">
        <v>10</v>
      </c>
      <c r="O68" s="3" t="s">
        <v>31</v>
      </c>
      <c r="P68" s="3" t="s">
        <v>67</v>
      </c>
      <c r="Q68" s="3" t="n">
        <v>6</v>
      </c>
      <c r="R68" s="3" t="n">
        <v>2</v>
      </c>
      <c r="S68" s="3" t="s">
        <v>33</v>
      </c>
      <c r="T68" s="6" t="n">
        <v>1.2</v>
      </c>
      <c r="U68" s="3" t="s">
        <v>33</v>
      </c>
      <c r="V68" s="3" t="str">
        <f aca="false">IF((10-Q68)+(10-R68)+IF(O68="Yes",3,0)+IF(S68="No",2,0)&gt;=14,"High",IF((10-Q68)+(10-R68)+IF(O68="Yes",3,0)+IF(S68="No",2,0)&gt;=8,"Medium","Low"))</f>
        <v>High</v>
      </c>
    </row>
    <row r="69" customFormat="false" ht="15" hidden="false" customHeight="false" outlineLevel="0" collapsed="false">
      <c r="A69" s="3" t="s">
        <v>205</v>
      </c>
      <c r="B69" s="3" t="s">
        <v>206</v>
      </c>
      <c r="C69" s="3" t="n">
        <v>22</v>
      </c>
      <c r="D69" s="3" t="s">
        <v>43</v>
      </c>
      <c r="E69" s="3" t="s">
        <v>55</v>
      </c>
      <c r="F69" s="3" t="s">
        <v>121</v>
      </c>
      <c r="G69" s="3" t="s">
        <v>60</v>
      </c>
      <c r="H69" s="3" t="s">
        <v>38</v>
      </c>
      <c r="I69" s="3" t="s">
        <v>39</v>
      </c>
      <c r="J69" s="4" t="n">
        <v>44187</v>
      </c>
      <c r="K69" s="3" t="n">
        <f aca="false">ROUND(($X$2-J69)/365,1)</f>
        <v>5</v>
      </c>
      <c r="L69" s="5" t="n">
        <v>160851.93</v>
      </c>
      <c r="M69" s="3" t="n">
        <v>2</v>
      </c>
      <c r="N69" s="3" t="n">
        <v>33</v>
      </c>
      <c r="O69" s="3" t="s">
        <v>33</v>
      </c>
      <c r="P69" s="3" t="s">
        <v>32</v>
      </c>
      <c r="Q69" s="3" t="n">
        <v>6</v>
      </c>
      <c r="R69" s="3" t="n">
        <v>4</v>
      </c>
      <c r="S69" s="3" t="s">
        <v>31</v>
      </c>
      <c r="T69" s="6" t="n">
        <v>12.28</v>
      </c>
      <c r="U69" s="3" t="s">
        <v>31</v>
      </c>
      <c r="V69" s="3" t="str">
        <f aca="false">IF((10-Q69)+(10-R69)+IF(O69="Yes",3,0)+IF(S69="No",2,0)&gt;=14,"High",IF((10-Q69)+(10-R69)+IF(O69="Yes",3,0)+IF(S69="No",2,0)&gt;=8,"Medium","Low"))</f>
        <v>Medium</v>
      </c>
    </row>
    <row r="70" customFormat="false" ht="15" hidden="false" customHeight="false" outlineLevel="0" collapsed="false">
      <c r="A70" s="3" t="s">
        <v>207</v>
      </c>
      <c r="B70" s="3" t="s">
        <v>208</v>
      </c>
      <c r="C70" s="3" t="n">
        <v>27</v>
      </c>
      <c r="D70" s="3" t="s">
        <v>43</v>
      </c>
      <c r="E70" s="3" t="s">
        <v>50</v>
      </c>
      <c r="F70" s="3" t="s">
        <v>87</v>
      </c>
      <c r="G70" s="3" t="s">
        <v>60</v>
      </c>
      <c r="H70" s="3" t="s">
        <v>29</v>
      </c>
      <c r="I70" s="3" t="s">
        <v>66</v>
      </c>
      <c r="J70" s="4" t="n">
        <v>44187</v>
      </c>
      <c r="K70" s="3" t="n">
        <f aca="false">ROUND(($X$2-J70)/365,1)</f>
        <v>5</v>
      </c>
      <c r="L70" s="5" t="n">
        <v>57273.58</v>
      </c>
      <c r="M70" s="3" t="n">
        <v>3</v>
      </c>
      <c r="N70" s="3" t="n">
        <v>40</v>
      </c>
      <c r="O70" s="3" t="s">
        <v>31</v>
      </c>
      <c r="P70" s="3" t="s">
        <v>40</v>
      </c>
      <c r="Q70" s="3" t="n">
        <v>2</v>
      </c>
      <c r="R70" s="3" t="n">
        <v>3</v>
      </c>
      <c r="S70" s="3" t="s">
        <v>31</v>
      </c>
      <c r="T70" s="6" t="n">
        <v>13.78</v>
      </c>
      <c r="U70" s="3" t="s">
        <v>33</v>
      </c>
      <c r="V70" s="3" t="str">
        <f aca="false">IF((10-Q70)+(10-R70)+IF(O70="Yes",3,0)+IF(S70="No",2,0)&gt;=14,"High",IF((10-Q70)+(10-R70)+IF(O70="Yes",3,0)+IF(S70="No",2,0)&gt;=8,"Medium","Low"))</f>
        <v>High</v>
      </c>
    </row>
    <row r="71" customFormat="false" ht="15" hidden="false" customHeight="false" outlineLevel="0" collapsed="false">
      <c r="A71" s="3" t="s">
        <v>209</v>
      </c>
      <c r="B71" s="3" t="s">
        <v>210</v>
      </c>
      <c r="C71" s="3" t="n">
        <v>45</v>
      </c>
      <c r="D71" s="3" t="s">
        <v>43</v>
      </c>
      <c r="E71" s="3" t="s">
        <v>64</v>
      </c>
      <c r="F71" s="3" t="s">
        <v>115</v>
      </c>
      <c r="G71" s="3" t="s">
        <v>28</v>
      </c>
      <c r="H71" s="3" t="s">
        <v>29</v>
      </c>
      <c r="I71" s="3" t="s">
        <v>30</v>
      </c>
      <c r="J71" s="4" t="n">
        <v>44189</v>
      </c>
      <c r="K71" s="3" t="n">
        <f aca="false">ROUND(($X$2-J71)/365,1)</f>
        <v>5</v>
      </c>
      <c r="L71" s="5" t="n">
        <v>32213.2</v>
      </c>
      <c r="M71" s="3" t="n">
        <v>1</v>
      </c>
      <c r="N71" s="3" t="n">
        <v>10</v>
      </c>
      <c r="O71" s="3" t="s">
        <v>33</v>
      </c>
      <c r="P71" s="3" t="s">
        <v>67</v>
      </c>
      <c r="Q71" s="3" t="n">
        <v>8</v>
      </c>
      <c r="R71" s="3" t="n">
        <v>2</v>
      </c>
      <c r="S71" s="3" t="s">
        <v>31</v>
      </c>
      <c r="T71" s="6" t="n">
        <v>8.57</v>
      </c>
      <c r="U71" s="3" t="s">
        <v>31</v>
      </c>
      <c r="V71" s="3" t="str">
        <f aca="false">IF((10-Q71)+(10-R71)+IF(O71="Yes",3,0)+IF(S71="No",2,0)&gt;=14,"High",IF((10-Q71)+(10-R71)+IF(O71="Yes",3,0)+IF(S71="No",2,0)&gt;=8,"Medium","Low"))</f>
        <v>Medium</v>
      </c>
    </row>
    <row r="72" customFormat="false" ht="15" hidden="false" customHeight="false" outlineLevel="0" collapsed="false">
      <c r="A72" s="3" t="s">
        <v>211</v>
      </c>
      <c r="B72" s="3" t="s">
        <v>164</v>
      </c>
      <c r="C72" s="3" t="n">
        <v>43</v>
      </c>
      <c r="D72" s="3" t="s">
        <v>25</v>
      </c>
      <c r="E72" s="3" t="s">
        <v>44</v>
      </c>
      <c r="F72" s="3" t="s">
        <v>70</v>
      </c>
      <c r="G72" s="3" t="s">
        <v>28</v>
      </c>
      <c r="H72" s="3" t="s">
        <v>52</v>
      </c>
      <c r="I72" s="3" t="s">
        <v>116</v>
      </c>
      <c r="J72" s="4" t="n">
        <v>44195</v>
      </c>
      <c r="K72" s="3" t="n">
        <f aca="false">ROUND(($X$2-J72)/365,1)</f>
        <v>5</v>
      </c>
      <c r="L72" s="5" t="n">
        <v>117736.4</v>
      </c>
      <c r="M72" s="3" t="n">
        <v>2</v>
      </c>
      <c r="N72" s="3" t="n">
        <v>58</v>
      </c>
      <c r="O72" s="3" t="s">
        <v>31</v>
      </c>
      <c r="P72" s="3" t="s">
        <v>67</v>
      </c>
      <c r="Q72" s="3" t="n">
        <v>3</v>
      </c>
      <c r="R72" s="3" t="n">
        <v>6</v>
      </c>
      <c r="S72" s="3" t="s">
        <v>33</v>
      </c>
      <c r="T72" s="6" t="n">
        <v>14.86</v>
      </c>
      <c r="U72" s="3" t="s">
        <v>31</v>
      </c>
      <c r="V72" s="3" t="str">
        <f aca="false">IF((10-Q72)+(10-R72)+IF(O72="Yes",3,0)+IF(S72="No",2,0)&gt;=14,"High",IF((10-Q72)+(10-R72)+IF(O72="Yes",3,0)+IF(S72="No",2,0)&gt;=8,"Medium","Low"))</f>
        <v>High</v>
      </c>
    </row>
    <row r="73" customFormat="false" ht="15" hidden="false" customHeight="false" outlineLevel="0" collapsed="false">
      <c r="A73" s="3" t="s">
        <v>212</v>
      </c>
      <c r="B73" s="3" t="s">
        <v>213</v>
      </c>
      <c r="C73" s="3" t="n">
        <v>41</v>
      </c>
      <c r="D73" s="3" t="s">
        <v>43</v>
      </c>
      <c r="E73" s="3" t="s">
        <v>44</v>
      </c>
      <c r="F73" s="3" t="s">
        <v>45</v>
      </c>
      <c r="G73" s="3" t="s">
        <v>60</v>
      </c>
      <c r="H73" s="3" t="s">
        <v>29</v>
      </c>
      <c r="I73" s="3" t="s">
        <v>47</v>
      </c>
      <c r="J73" s="4" t="n">
        <v>44215</v>
      </c>
      <c r="K73" s="3" t="n">
        <f aca="false">ROUND(($X$2-J73)/365,1)</f>
        <v>5</v>
      </c>
      <c r="L73" s="5" t="n">
        <v>113721.84</v>
      </c>
      <c r="M73" s="3" t="n">
        <v>3</v>
      </c>
      <c r="N73" s="3" t="n">
        <v>48</v>
      </c>
      <c r="O73" s="3" t="s">
        <v>33</v>
      </c>
      <c r="P73" s="3" t="s">
        <v>67</v>
      </c>
      <c r="Q73" s="3" t="n">
        <v>3</v>
      </c>
      <c r="R73" s="3" t="n">
        <v>9</v>
      </c>
      <c r="S73" s="3" t="s">
        <v>31</v>
      </c>
      <c r="T73" s="6" t="n">
        <v>3.04</v>
      </c>
      <c r="U73" s="3" t="s">
        <v>31</v>
      </c>
      <c r="V73" s="3" t="str">
        <f aca="false">IF((10-Q73)+(10-R73)+IF(O73="Yes",3,0)+IF(S73="No",2,0)&gt;=14,"High",IF((10-Q73)+(10-R73)+IF(O73="Yes",3,0)+IF(S73="No",2,0)&gt;=8,"Medium","Low"))</f>
        <v>Medium</v>
      </c>
    </row>
    <row r="74" customFormat="false" ht="15" hidden="false" customHeight="false" outlineLevel="0" collapsed="false">
      <c r="A74" s="3" t="s">
        <v>214</v>
      </c>
      <c r="B74" s="3" t="s">
        <v>215</v>
      </c>
      <c r="C74" s="3" t="n">
        <v>51</v>
      </c>
      <c r="D74" s="3" t="s">
        <v>43</v>
      </c>
      <c r="E74" s="3" t="s">
        <v>73</v>
      </c>
      <c r="F74" s="3" t="s">
        <v>74</v>
      </c>
      <c r="G74" s="3" t="s">
        <v>77</v>
      </c>
      <c r="H74" s="3" t="s">
        <v>52</v>
      </c>
      <c r="I74" s="3" t="s">
        <v>116</v>
      </c>
      <c r="J74" s="4" t="n">
        <v>44222</v>
      </c>
      <c r="K74" s="3" t="n">
        <f aca="false">ROUND(($X$2-J74)/365,1)</f>
        <v>4.9</v>
      </c>
      <c r="L74" s="5" t="n">
        <v>42010.98</v>
      </c>
      <c r="M74" s="3" t="n">
        <v>5</v>
      </c>
      <c r="N74" s="3" t="n">
        <v>22</v>
      </c>
      <c r="O74" s="3" t="s">
        <v>31</v>
      </c>
      <c r="P74" s="3" t="s">
        <v>32</v>
      </c>
      <c r="Q74" s="3" t="n">
        <v>1</v>
      </c>
      <c r="R74" s="3" t="n">
        <v>9</v>
      </c>
      <c r="S74" s="3" t="s">
        <v>33</v>
      </c>
      <c r="T74" s="6" t="n">
        <v>11.56</v>
      </c>
      <c r="U74" s="3" t="s">
        <v>31</v>
      </c>
      <c r="V74" s="3" t="str">
        <f aca="false">IF((10-Q74)+(10-R74)+IF(O74="Yes",3,0)+IF(S74="No",2,0)&gt;=14,"High",IF((10-Q74)+(10-R74)+IF(O74="Yes",3,0)+IF(S74="No",2,0)&gt;=8,"Medium","Low"))</f>
        <v>High</v>
      </c>
    </row>
    <row r="75" customFormat="false" ht="15" hidden="false" customHeight="false" outlineLevel="0" collapsed="false">
      <c r="A75" s="3" t="s">
        <v>216</v>
      </c>
      <c r="B75" s="3" t="s">
        <v>217</v>
      </c>
      <c r="C75" s="3" t="n">
        <v>39</v>
      </c>
      <c r="D75" s="3" t="s">
        <v>25</v>
      </c>
      <c r="E75" s="3" t="s">
        <v>36</v>
      </c>
      <c r="F75" s="3" t="s">
        <v>100</v>
      </c>
      <c r="G75" s="3" t="s">
        <v>60</v>
      </c>
      <c r="H75" s="3" t="s">
        <v>52</v>
      </c>
      <c r="I75" s="3" t="s">
        <v>39</v>
      </c>
      <c r="J75" s="4" t="n">
        <v>44224</v>
      </c>
      <c r="K75" s="3" t="n">
        <f aca="false">ROUND(($X$2-J75)/365,1)</f>
        <v>4.9</v>
      </c>
      <c r="L75" s="5" t="n">
        <v>166834.99</v>
      </c>
      <c r="M75" s="3" t="n">
        <v>1</v>
      </c>
      <c r="N75" s="3" t="n">
        <v>16</v>
      </c>
      <c r="O75" s="3" t="s">
        <v>33</v>
      </c>
      <c r="P75" s="3" t="s">
        <v>32</v>
      </c>
      <c r="Q75" s="3" t="n">
        <v>3</v>
      </c>
      <c r="R75" s="3" t="n">
        <v>10</v>
      </c>
      <c r="S75" s="3" t="s">
        <v>33</v>
      </c>
      <c r="T75" s="6" t="n">
        <v>5.99</v>
      </c>
      <c r="U75" s="3" t="s">
        <v>33</v>
      </c>
      <c r="V75" s="3" t="str">
        <f aca="false">IF((10-Q75)+(10-R75)+IF(O75="Yes",3,0)+IF(S75="No",2,0)&gt;=14,"High",IF((10-Q75)+(10-R75)+IF(O75="Yes",3,0)+IF(S75="No",2,0)&gt;=8,"Medium","Low"))</f>
        <v>Medium</v>
      </c>
    </row>
    <row r="76" customFormat="false" ht="15" hidden="false" customHeight="false" outlineLevel="0" collapsed="false">
      <c r="A76" s="3" t="s">
        <v>218</v>
      </c>
      <c r="B76" s="3" t="s">
        <v>219</v>
      </c>
      <c r="C76" s="3" t="n">
        <v>36</v>
      </c>
      <c r="D76" s="3" t="s">
        <v>25</v>
      </c>
      <c r="E76" s="3" t="s">
        <v>36</v>
      </c>
      <c r="F76" s="3" t="s">
        <v>37</v>
      </c>
      <c r="G76" s="3" t="s">
        <v>60</v>
      </c>
      <c r="H76" s="3" t="s">
        <v>52</v>
      </c>
      <c r="I76" s="3" t="s">
        <v>116</v>
      </c>
      <c r="J76" s="4" t="n">
        <v>44229</v>
      </c>
      <c r="K76" s="3" t="n">
        <f aca="false">ROUND(($X$2-J76)/365,1)</f>
        <v>4.9</v>
      </c>
      <c r="L76" s="5" t="n">
        <v>138556.14</v>
      </c>
      <c r="M76" s="3" t="n">
        <v>4</v>
      </c>
      <c r="N76" s="3" t="n">
        <v>46</v>
      </c>
      <c r="O76" s="3" t="s">
        <v>33</v>
      </c>
      <c r="P76" s="3" t="s">
        <v>40</v>
      </c>
      <c r="Q76" s="3" t="n">
        <v>4</v>
      </c>
      <c r="R76" s="3" t="n">
        <v>7</v>
      </c>
      <c r="S76" s="3" t="s">
        <v>33</v>
      </c>
      <c r="T76" s="6" t="n">
        <v>4.91</v>
      </c>
      <c r="U76" s="3" t="s">
        <v>31</v>
      </c>
      <c r="V76" s="3" t="str">
        <f aca="false">IF((10-Q76)+(10-R76)+IF(O76="Yes",3,0)+IF(S76="No",2,0)&gt;=14,"High",IF((10-Q76)+(10-R76)+IF(O76="Yes",3,0)+IF(S76="No",2,0)&gt;=8,"Medium","Low"))</f>
        <v>Medium</v>
      </c>
    </row>
    <row r="77" customFormat="false" ht="15" hidden="false" customHeight="false" outlineLevel="0" collapsed="false">
      <c r="A77" s="3" t="s">
        <v>220</v>
      </c>
      <c r="B77" s="3" t="s">
        <v>118</v>
      </c>
      <c r="C77" s="3" t="n">
        <v>46</v>
      </c>
      <c r="D77" s="3" t="s">
        <v>43</v>
      </c>
      <c r="E77" s="3" t="s">
        <v>55</v>
      </c>
      <c r="F77" s="3" t="s">
        <v>56</v>
      </c>
      <c r="G77" s="3" t="s">
        <v>28</v>
      </c>
      <c r="H77" s="3" t="s">
        <v>29</v>
      </c>
      <c r="I77" s="3" t="s">
        <v>81</v>
      </c>
      <c r="J77" s="4" t="n">
        <v>44260</v>
      </c>
      <c r="K77" s="3" t="n">
        <f aca="false">ROUND(($X$2-J77)/365,1)</f>
        <v>4.8</v>
      </c>
      <c r="L77" s="5" t="n">
        <v>135444.61</v>
      </c>
      <c r="M77" s="3" t="n">
        <v>1</v>
      </c>
      <c r="N77" s="3" t="n">
        <v>40</v>
      </c>
      <c r="O77" s="3" t="s">
        <v>31</v>
      </c>
      <c r="P77" s="3" t="s">
        <v>40</v>
      </c>
      <c r="Q77" s="3" t="n">
        <v>2</v>
      </c>
      <c r="R77" s="3" t="n">
        <v>2</v>
      </c>
      <c r="S77" s="3" t="s">
        <v>33</v>
      </c>
      <c r="T77" s="6" t="n">
        <v>14.2</v>
      </c>
      <c r="U77" s="3" t="s">
        <v>31</v>
      </c>
      <c r="V77" s="3" t="str">
        <f aca="false">IF((10-Q77)+(10-R77)+IF(O77="Yes",3,0)+IF(S77="No",2,0)&gt;=14,"High",IF((10-Q77)+(10-R77)+IF(O77="Yes",3,0)+IF(S77="No",2,0)&gt;=8,"Medium","Low"))</f>
        <v>High</v>
      </c>
    </row>
    <row r="78" customFormat="false" ht="15" hidden="false" customHeight="false" outlineLevel="0" collapsed="false">
      <c r="A78" s="3" t="s">
        <v>221</v>
      </c>
      <c r="B78" s="3" t="s">
        <v>222</v>
      </c>
      <c r="C78" s="3" t="n">
        <v>35</v>
      </c>
      <c r="D78" s="3" t="s">
        <v>43</v>
      </c>
      <c r="E78" s="3" t="s">
        <v>26</v>
      </c>
      <c r="F78" s="3" t="s">
        <v>27</v>
      </c>
      <c r="G78" s="3" t="s">
        <v>28</v>
      </c>
      <c r="H78" s="3" t="s">
        <v>52</v>
      </c>
      <c r="I78" s="3" t="s">
        <v>66</v>
      </c>
      <c r="J78" s="4" t="n">
        <v>44264</v>
      </c>
      <c r="K78" s="3" t="n">
        <f aca="false">ROUND(($X$2-J78)/365,1)</f>
        <v>4.8</v>
      </c>
      <c r="L78" s="5" t="n">
        <v>37819.57</v>
      </c>
      <c r="M78" s="3" t="n">
        <v>3</v>
      </c>
      <c r="N78" s="3" t="n">
        <v>11</v>
      </c>
      <c r="O78" s="3" t="s">
        <v>33</v>
      </c>
      <c r="P78" s="3" t="s">
        <v>67</v>
      </c>
      <c r="Q78" s="3" t="n">
        <v>7</v>
      </c>
      <c r="R78" s="3" t="n">
        <v>10</v>
      </c>
      <c r="S78" s="3" t="s">
        <v>33</v>
      </c>
      <c r="T78" s="6" t="n">
        <v>0.35</v>
      </c>
      <c r="U78" s="3" t="s">
        <v>33</v>
      </c>
      <c r="V78" s="3" t="str">
        <f aca="false">IF((10-Q78)+(10-R78)+IF(O78="Yes",3,0)+IF(S78="No",2,0)&gt;=14,"High",IF((10-Q78)+(10-R78)+IF(O78="Yes",3,0)+IF(S78="No",2,0)&gt;=8,"Medium","Low"))</f>
        <v>Low</v>
      </c>
    </row>
    <row r="79" customFormat="false" ht="15" hidden="false" customHeight="false" outlineLevel="0" collapsed="false">
      <c r="A79" s="3" t="s">
        <v>223</v>
      </c>
      <c r="B79" s="3" t="s">
        <v>224</v>
      </c>
      <c r="C79" s="3" t="n">
        <v>27</v>
      </c>
      <c r="D79" s="3" t="s">
        <v>25</v>
      </c>
      <c r="E79" s="3" t="s">
        <v>44</v>
      </c>
      <c r="F79" s="3" t="s">
        <v>59</v>
      </c>
      <c r="G79" s="3" t="s">
        <v>28</v>
      </c>
      <c r="H79" s="3" t="s">
        <v>29</v>
      </c>
      <c r="I79" s="3" t="s">
        <v>47</v>
      </c>
      <c r="J79" s="4" t="n">
        <v>44350</v>
      </c>
      <c r="K79" s="3" t="n">
        <f aca="false">ROUND(($X$2-J79)/365,1)</f>
        <v>4.6</v>
      </c>
      <c r="L79" s="5" t="n">
        <v>150631.62</v>
      </c>
      <c r="M79" s="3" t="n">
        <v>4</v>
      </c>
      <c r="N79" s="3" t="n">
        <v>30</v>
      </c>
      <c r="O79" s="3" t="s">
        <v>31</v>
      </c>
      <c r="P79" s="3" t="s">
        <v>40</v>
      </c>
      <c r="Q79" s="3" t="n">
        <v>7</v>
      </c>
      <c r="R79" s="3" t="n">
        <v>9</v>
      </c>
      <c r="S79" s="3" t="s">
        <v>33</v>
      </c>
      <c r="T79" s="6" t="n">
        <v>5.77</v>
      </c>
      <c r="U79" s="3" t="s">
        <v>33</v>
      </c>
      <c r="V79" s="3" t="str">
        <f aca="false">IF((10-Q79)+(10-R79)+IF(O79="Yes",3,0)+IF(S79="No",2,0)&gt;=14,"High",IF((10-Q79)+(10-R79)+IF(O79="Yes",3,0)+IF(S79="No",2,0)&gt;=8,"Medium","Low"))</f>
        <v>Medium</v>
      </c>
    </row>
    <row r="80" customFormat="false" ht="15" hidden="false" customHeight="false" outlineLevel="0" collapsed="false">
      <c r="A80" s="3" t="s">
        <v>225</v>
      </c>
      <c r="B80" s="3" t="s">
        <v>226</v>
      </c>
      <c r="C80" s="3" t="n">
        <v>51</v>
      </c>
      <c r="D80" s="3" t="s">
        <v>25</v>
      </c>
      <c r="E80" s="3" t="s">
        <v>64</v>
      </c>
      <c r="F80" s="3" t="s">
        <v>115</v>
      </c>
      <c r="G80" s="3" t="s">
        <v>77</v>
      </c>
      <c r="H80" s="3" t="s">
        <v>29</v>
      </c>
      <c r="I80" s="3" t="s">
        <v>39</v>
      </c>
      <c r="J80" s="4" t="n">
        <v>44357</v>
      </c>
      <c r="K80" s="3" t="n">
        <f aca="false">ROUND(($X$2-J80)/365,1)</f>
        <v>4.6</v>
      </c>
      <c r="L80" s="5" t="n">
        <v>56906</v>
      </c>
      <c r="M80" s="3" t="n">
        <v>1</v>
      </c>
      <c r="N80" s="3" t="n">
        <v>8</v>
      </c>
      <c r="O80" s="3" t="s">
        <v>31</v>
      </c>
      <c r="P80" s="3" t="s">
        <v>32</v>
      </c>
      <c r="Q80" s="3" t="n">
        <v>1</v>
      </c>
      <c r="R80" s="3" t="n">
        <v>5</v>
      </c>
      <c r="S80" s="3" t="s">
        <v>31</v>
      </c>
      <c r="T80" s="6" t="n">
        <v>5.83</v>
      </c>
      <c r="U80" s="3" t="s">
        <v>31</v>
      </c>
      <c r="V80" s="3" t="str">
        <f aca="false">IF((10-Q80)+(10-R80)+IF(O80="Yes",3,0)+IF(S80="No",2,0)&gt;=14,"High",IF((10-Q80)+(10-R80)+IF(O80="Yes",3,0)+IF(S80="No",2,0)&gt;=8,"Medium","Low"))</f>
        <v>High</v>
      </c>
    </row>
    <row r="81" customFormat="false" ht="15" hidden="false" customHeight="false" outlineLevel="0" collapsed="false">
      <c r="A81" s="3" t="s">
        <v>227</v>
      </c>
      <c r="B81" s="3" t="s">
        <v>228</v>
      </c>
      <c r="C81" s="3" t="n">
        <v>23</v>
      </c>
      <c r="D81" s="3" t="s">
        <v>43</v>
      </c>
      <c r="E81" s="3" t="s">
        <v>73</v>
      </c>
      <c r="F81" s="3" t="s">
        <v>74</v>
      </c>
      <c r="G81" s="3" t="s">
        <v>46</v>
      </c>
      <c r="H81" s="3" t="s">
        <v>38</v>
      </c>
      <c r="I81" s="3" t="s">
        <v>97</v>
      </c>
      <c r="J81" s="4" t="n">
        <v>44372</v>
      </c>
      <c r="K81" s="3" t="n">
        <f aca="false">ROUND(($X$2-J81)/365,1)</f>
        <v>4.5</v>
      </c>
      <c r="L81" s="5" t="n">
        <v>89252.9</v>
      </c>
      <c r="M81" s="3" t="n">
        <v>4</v>
      </c>
      <c r="N81" s="3" t="n">
        <v>59</v>
      </c>
      <c r="O81" s="3" t="s">
        <v>33</v>
      </c>
      <c r="P81" s="3" t="s">
        <v>67</v>
      </c>
      <c r="Q81" s="3" t="n">
        <v>6</v>
      </c>
      <c r="R81" s="3" t="n">
        <v>3</v>
      </c>
      <c r="S81" s="3" t="s">
        <v>33</v>
      </c>
      <c r="T81" s="6" t="n">
        <v>9.11</v>
      </c>
      <c r="U81" s="3" t="s">
        <v>33</v>
      </c>
      <c r="V81" s="3" t="str">
        <f aca="false">IF((10-Q81)+(10-R81)+IF(O81="Yes",3,0)+IF(S81="No",2,0)&gt;=14,"High",IF((10-Q81)+(10-R81)+IF(O81="Yes",3,0)+IF(S81="No",2,0)&gt;=8,"Medium","Low"))</f>
        <v>Medium</v>
      </c>
    </row>
    <row r="82" customFormat="false" ht="15" hidden="false" customHeight="false" outlineLevel="0" collapsed="false">
      <c r="A82" s="3" t="s">
        <v>229</v>
      </c>
      <c r="B82" s="3" t="s">
        <v>230</v>
      </c>
      <c r="C82" s="3" t="n">
        <v>33</v>
      </c>
      <c r="D82" s="3" t="s">
        <v>25</v>
      </c>
      <c r="E82" s="3" t="s">
        <v>50</v>
      </c>
      <c r="F82" s="3" t="s">
        <v>87</v>
      </c>
      <c r="G82" s="3" t="s">
        <v>46</v>
      </c>
      <c r="H82" s="3" t="s">
        <v>52</v>
      </c>
      <c r="I82" s="3" t="s">
        <v>47</v>
      </c>
      <c r="J82" s="4" t="n">
        <v>44392</v>
      </c>
      <c r="K82" s="3" t="n">
        <f aca="false">ROUND(($X$2-J82)/365,1)</f>
        <v>4.5</v>
      </c>
      <c r="L82" s="5" t="n">
        <v>121422.8</v>
      </c>
      <c r="M82" s="3" t="n">
        <v>5</v>
      </c>
      <c r="N82" s="3" t="n">
        <v>5</v>
      </c>
      <c r="O82" s="3" t="s">
        <v>31</v>
      </c>
      <c r="P82" s="3" t="s">
        <v>67</v>
      </c>
      <c r="Q82" s="3" t="n">
        <v>8</v>
      </c>
      <c r="R82" s="3" t="n">
        <v>10</v>
      </c>
      <c r="S82" s="3" t="s">
        <v>31</v>
      </c>
      <c r="T82" s="6" t="n">
        <v>2.53</v>
      </c>
      <c r="U82" s="3" t="s">
        <v>33</v>
      </c>
      <c r="V82" s="3" t="str">
        <f aca="false">IF((10-Q82)+(10-R82)+IF(O82="Yes",3,0)+IF(S82="No",2,0)&gt;=14,"High",IF((10-Q82)+(10-R82)+IF(O82="Yes",3,0)+IF(S82="No",2,0)&gt;=8,"Medium","Low"))</f>
        <v>Low</v>
      </c>
    </row>
    <row r="83" customFormat="false" ht="15" hidden="false" customHeight="false" outlineLevel="0" collapsed="false">
      <c r="A83" s="3" t="s">
        <v>231</v>
      </c>
      <c r="B83" s="3" t="s">
        <v>232</v>
      </c>
      <c r="C83" s="3" t="n">
        <v>28</v>
      </c>
      <c r="D83" s="3" t="s">
        <v>43</v>
      </c>
      <c r="E83" s="3" t="s">
        <v>36</v>
      </c>
      <c r="F83" s="3" t="s">
        <v>165</v>
      </c>
      <c r="G83" s="3" t="s">
        <v>46</v>
      </c>
      <c r="H83" s="3" t="s">
        <v>38</v>
      </c>
      <c r="I83" s="3" t="s">
        <v>66</v>
      </c>
      <c r="J83" s="4" t="n">
        <v>44412</v>
      </c>
      <c r="K83" s="3" t="n">
        <f aca="false">ROUND(($X$2-J83)/365,1)</f>
        <v>4.4</v>
      </c>
      <c r="L83" s="5" t="n">
        <v>111279.89</v>
      </c>
      <c r="M83" s="3" t="n">
        <v>4</v>
      </c>
      <c r="N83" s="3" t="n">
        <v>58</v>
      </c>
      <c r="O83" s="3" t="s">
        <v>33</v>
      </c>
      <c r="P83" s="3" t="s">
        <v>40</v>
      </c>
      <c r="Q83" s="3" t="n">
        <v>3</v>
      </c>
      <c r="R83" s="3" t="n">
        <v>10</v>
      </c>
      <c r="S83" s="3" t="s">
        <v>33</v>
      </c>
      <c r="T83" s="6" t="n">
        <v>0.3</v>
      </c>
      <c r="U83" s="3" t="s">
        <v>31</v>
      </c>
      <c r="V83" s="3" t="str">
        <f aca="false">IF((10-Q83)+(10-R83)+IF(O83="Yes",3,0)+IF(S83="No",2,0)&gt;=14,"High",IF((10-Q83)+(10-R83)+IF(O83="Yes",3,0)+IF(S83="No",2,0)&gt;=8,"Medium","Low"))</f>
        <v>Medium</v>
      </c>
    </row>
    <row r="84" customFormat="false" ht="15" hidden="false" customHeight="false" outlineLevel="0" collapsed="false">
      <c r="A84" s="3" t="s">
        <v>233</v>
      </c>
      <c r="B84" s="3" t="s">
        <v>234</v>
      </c>
      <c r="C84" s="3" t="n">
        <v>27</v>
      </c>
      <c r="D84" s="3" t="s">
        <v>43</v>
      </c>
      <c r="E84" s="3" t="s">
        <v>44</v>
      </c>
      <c r="F84" s="3" t="s">
        <v>59</v>
      </c>
      <c r="G84" s="3" t="s">
        <v>46</v>
      </c>
      <c r="H84" s="3" t="s">
        <v>52</v>
      </c>
      <c r="I84" s="3" t="s">
        <v>81</v>
      </c>
      <c r="J84" s="4" t="n">
        <v>44440</v>
      </c>
      <c r="K84" s="3" t="n">
        <f aca="false">ROUND(($X$2-J84)/365,1)</f>
        <v>4.3</v>
      </c>
      <c r="L84" s="5" t="n">
        <v>136701.42</v>
      </c>
      <c r="M84" s="3" t="n">
        <v>3</v>
      </c>
      <c r="N84" s="3" t="n">
        <v>13</v>
      </c>
      <c r="O84" s="3" t="s">
        <v>31</v>
      </c>
      <c r="P84" s="3" t="s">
        <v>40</v>
      </c>
      <c r="Q84" s="3" t="n">
        <v>3</v>
      </c>
      <c r="R84" s="3" t="n">
        <v>4</v>
      </c>
      <c r="S84" s="3" t="s">
        <v>31</v>
      </c>
      <c r="T84" s="6" t="n">
        <v>0.16</v>
      </c>
      <c r="U84" s="3" t="s">
        <v>31</v>
      </c>
      <c r="V84" s="3" t="str">
        <f aca="false">IF((10-Q84)+(10-R84)+IF(O84="Yes",3,0)+IF(S84="No",2,0)&gt;=14,"High",IF((10-Q84)+(10-R84)+IF(O84="Yes",3,0)+IF(S84="No",2,0)&gt;=8,"Medium","Low"))</f>
        <v>High</v>
      </c>
    </row>
    <row r="85" customFormat="false" ht="15" hidden="false" customHeight="false" outlineLevel="0" collapsed="false">
      <c r="A85" s="3" t="s">
        <v>235</v>
      </c>
      <c r="B85" s="3" t="s">
        <v>236</v>
      </c>
      <c r="C85" s="3" t="n">
        <v>52</v>
      </c>
      <c r="D85" s="3" t="s">
        <v>43</v>
      </c>
      <c r="E85" s="3" t="s">
        <v>36</v>
      </c>
      <c r="F85" s="3" t="s">
        <v>37</v>
      </c>
      <c r="G85" s="3" t="s">
        <v>60</v>
      </c>
      <c r="H85" s="3" t="s">
        <v>52</v>
      </c>
      <c r="I85" s="3" t="s">
        <v>61</v>
      </c>
      <c r="J85" s="4" t="n">
        <v>44477</v>
      </c>
      <c r="K85" s="3" t="n">
        <f aca="false">ROUND(($X$2-J85)/365,1)</f>
        <v>4.2</v>
      </c>
      <c r="L85" s="5" t="n">
        <v>120071.28</v>
      </c>
      <c r="M85" s="3" t="n">
        <v>3</v>
      </c>
      <c r="N85" s="3" t="n">
        <v>47</v>
      </c>
      <c r="O85" s="3" t="s">
        <v>31</v>
      </c>
      <c r="P85" s="3" t="s">
        <v>32</v>
      </c>
      <c r="Q85" s="3" t="n">
        <v>4</v>
      </c>
      <c r="R85" s="3" t="n">
        <v>3</v>
      </c>
      <c r="S85" s="3" t="s">
        <v>33</v>
      </c>
      <c r="T85" s="6" t="n">
        <v>2.13</v>
      </c>
      <c r="U85" s="3" t="s">
        <v>31</v>
      </c>
      <c r="V85" s="3" t="str">
        <f aca="false">IF((10-Q85)+(10-R85)+IF(O85="Yes",3,0)+IF(S85="No",2,0)&gt;=14,"High",IF((10-Q85)+(10-R85)+IF(O85="Yes",3,0)+IF(S85="No",2,0)&gt;=8,"Medium","Low"))</f>
        <v>High</v>
      </c>
    </row>
    <row r="86" customFormat="false" ht="15" hidden="false" customHeight="false" outlineLevel="0" collapsed="false">
      <c r="A86" s="3" t="s">
        <v>237</v>
      </c>
      <c r="B86" s="3" t="s">
        <v>24</v>
      </c>
      <c r="C86" s="3" t="n">
        <v>54</v>
      </c>
      <c r="D86" s="3" t="s">
        <v>25</v>
      </c>
      <c r="E86" s="3" t="s">
        <v>26</v>
      </c>
      <c r="F86" s="3" t="s">
        <v>174</v>
      </c>
      <c r="G86" s="3" t="s">
        <v>46</v>
      </c>
      <c r="H86" s="3" t="s">
        <v>52</v>
      </c>
      <c r="I86" s="3" t="s">
        <v>47</v>
      </c>
      <c r="J86" s="4" t="n">
        <v>44480</v>
      </c>
      <c r="K86" s="3" t="n">
        <f aca="false">ROUND(($X$2-J86)/365,1)</f>
        <v>4.2</v>
      </c>
      <c r="L86" s="5" t="n">
        <v>30062.76</v>
      </c>
      <c r="M86" s="3" t="n">
        <v>2</v>
      </c>
      <c r="N86" s="3" t="n">
        <v>54</v>
      </c>
      <c r="O86" s="3" t="s">
        <v>33</v>
      </c>
      <c r="P86" s="3" t="s">
        <v>67</v>
      </c>
      <c r="Q86" s="3" t="n">
        <v>6</v>
      </c>
      <c r="R86" s="3" t="n">
        <v>9</v>
      </c>
      <c r="S86" s="3" t="s">
        <v>33</v>
      </c>
      <c r="T86" s="6" t="n">
        <v>2.85</v>
      </c>
      <c r="U86" s="3" t="s">
        <v>33</v>
      </c>
      <c r="V86" s="3" t="str">
        <f aca="false">IF((10-Q86)+(10-R86)+IF(O86="Yes",3,0)+IF(S86="No",2,0)&gt;=14,"High",IF((10-Q86)+(10-R86)+IF(O86="Yes",3,0)+IF(S86="No",2,0)&gt;=8,"Medium","Low"))</f>
        <v>Low</v>
      </c>
    </row>
    <row r="87" customFormat="false" ht="15" hidden="false" customHeight="false" outlineLevel="0" collapsed="false">
      <c r="A87" s="3" t="s">
        <v>238</v>
      </c>
      <c r="B87" s="3" t="s">
        <v>239</v>
      </c>
      <c r="C87" s="3" t="n">
        <v>39</v>
      </c>
      <c r="D87" s="3" t="s">
        <v>25</v>
      </c>
      <c r="E87" s="3" t="s">
        <v>73</v>
      </c>
      <c r="F87" s="3" t="s">
        <v>74</v>
      </c>
      <c r="G87" s="3" t="s">
        <v>60</v>
      </c>
      <c r="H87" s="3" t="s">
        <v>29</v>
      </c>
      <c r="I87" s="3" t="s">
        <v>30</v>
      </c>
      <c r="J87" s="4" t="n">
        <v>44514</v>
      </c>
      <c r="K87" s="3" t="n">
        <f aca="false">ROUND(($X$2-J87)/365,1)</f>
        <v>4.1</v>
      </c>
      <c r="L87" s="5" t="n">
        <v>37675.11</v>
      </c>
      <c r="M87" s="3" t="n">
        <v>4</v>
      </c>
      <c r="N87" s="3" t="n">
        <v>47</v>
      </c>
      <c r="O87" s="3" t="s">
        <v>33</v>
      </c>
      <c r="P87" s="3" t="s">
        <v>67</v>
      </c>
      <c r="Q87" s="3" t="n">
        <v>1</v>
      </c>
      <c r="R87" s="3" t="n">
        <v>9</v>
      </c>
      <c r="S87" s="3" t="s">
        <v>31</v>
      </c>
      <c r="T87" s="6" t="n">
        <v>0.49</v>
      </c>
      <c r="U87" s="3" t="s">
        <v>33</v>
      </c>
      <c r="V87" s="3" t="str">
        <f aca="false">IF((10-Q87)+(10-R87)+IF(O87="Yes",3,0)+IF(S87="No",2,0)&gt;=14,"High",IF((10-Q87)+(10-R87)+IF(O87="Yes",3,0)+IF(S87="No",2,0)&gt;=8,"Medium","Low"))</f>
        <v>Medium</v>
      </c>
    </row>
    <row r="88" customFormat="false" ht="15" hidden="false" customHeight="false" outlineLevel="0" collapsed="false">
      <c r="A88" s="3" t="s">
        <v>240</v>
      </c>
      <c r="B88" s="3" t="s">
        <v>241</v>
      </c>
      <c r="C88" s="3" t="n">
        <v>56</v>
      </c>
      <c r="D88" s="3" t="s">
        <v>25</v>
      </c>
      <c r="E88" s="3" t="s">
        <v>36</v>
      </c>
      <c r="F88" s="3" t="s">
        <v>165</v>
      </c>
      <c r="G88" s="3" t="s">
        <v>28</v>
      </c>
      <c r="H88" s="3" t="s">
        <v>38</v>
      </c>
      <c r="I88" s="3" t="s">
        <v>39</v>
      </c>
      <c r="J88" s="4" t="n">
        <v>44529</v>
      </c>
      <c r="K88" s="3" t="n">
        <f aca="false">ROUND(($X$2-J88)/365,1)</f>
        <v>4.1</v>
      </c>
      <c r="L88" s="5" t="n">
        <v>107264.89</v>
      </c>
      <c r="M88" s="3" t="n">
        <v>3</v>
      </c>
      <c r="N88" s="3" t="n">
        <v>30</v>
      </c>
      <c r="O88" s="3" t="s">
        <v>31</v>
      </c>
      <c r="P88" s="3" t="s">
        <v>67</v>
      </c>
      <c r="Q88" s="3" t="n">
        <v>7</v>
      </c>
      <c r="R88" s="3" t="n">
        <v>6</v>
      </c>
      <c r="S88" s="3" t="s">
        <v>31</v>
      </c>
      <c r="T88" s="6" t="n">
        <v>12.3</v>
      </c>
      <c r="U88" s="3" t="s">
        <v>31</v>
      </c>
      <c r="V88" s="3" t="str">
        <f aca="false">IF((10-Q88)+(10-R88)+IF(O88="Yes",3,0)+IF(S88="No",2,0)&gt;=14,"High",IF((10-Q88)+(10-R88)+IF(O88="Yes",3,0)+IF(S88="No",2,0)&gt;=8,"Medium","Low"))</f>
        <v>Medium</v>
      </c>
    </row>
    <row r="89" customFormat="false" ht="15" hidden="false" customHeight="false" outlineLevel="0" collapsed="false">
      <c r="A89" s="3" t="s">
        <v>242</v>
      </c>
      <c r="B89" s="3" t="s">
        <v>243</v>
      </c>
      <c r="C89" s="3" t="n">
        <v>26</v>
      </c>
      <c r="D89" s="3" t="s">
        <v>25</v>
      </c>
      <c r="E89" s="3" t="s">
        <v>64</v>
      </c>
      <c r="F89" s="3" t="s">
        <v>140</v>
      </c>
      <c r="G89" s="3" t="s">
        <v>46</v>
      </c>
      <c r="H89" s="3" t="s">
        <v>29</v>
      </c>
      <c r="I89" s="3" t="s">
        <v>81</v>
      </c>
      <c r="J89" s="4" t="n">
        <v>44544</v>
      </c>
      <c r="K89" s="3" t="n">
        <f aca="false">ROUND(($X$2-J89)/365,1)</f>
        <v>4.1</v>
      </c>
      <c r="L89" s="5" t="n">
        <v>37225.37</v>
      </c>
      <c r="M89" s="3" t="n">
        <v>1</v>
      </c>
      <c r="N89" s="3" t="n">
        <v>37</v>
      </c>
      <c r="O89" s="3" t="s">
        <v>33</v>
      </c>
      <c r="P89" s="3" t="s">
        <v>40</v>
      </c>
      <c r="Q89" s="3" t="n">
        <v>7</v>
      </c>
      <c r="R89" s="3" t="n">
        <v>3</v>
      </c>
      <c r="S89" s="3" t="s">
        <v>31</v>
      </c>
      <c r="T89" s="6" t="n">
        <v>1.56</v>
      </c>
      <c r="U89" s="3" t="s">
        <v>33</v>
      </c>
      <c r="V89" s="3" t="str">
        <f aca="false">IF((10-Q89)+(10-R89)+IF(O89="Yes",3,0)+IF(S89="No",2,0)&gt;=14,"High",IF((10-Q89)+(10-R89)+IF(O89="Yes",3,0)+IF(S89="No",2,0)&gt;=8,"Medium","Low"))</f>
        <v>Medium</v>
      </c>
    </row>
    <row r="90" customFormat="false" ht="15" hidden="false" customHeight="false" outlineLevel="0" collapsed="false">
      <c r="A90" s="3" t="s">
        <v>244</v>
      </c>
      <c r="B90" s="3" t="s">
        <v>180</v>
      </c>
      <c r="C90" s="3" t="n">
        <v>56</v>
      </c>
      <c r="D90" s="3" t="s">
        <v>43</v>
      </c>
      <c r="E90" s="3" t="s">
        <v>50</v>
      </c>
      <c r="F90" s="3" t="s">
        <v>87</v>
      </c>
      <c r="G90" s="3" t="s">
        <v>60</v>
      </c>
      <c r="H90" s="3" t="s">
        <v>38</v>
      </c>
      <c r="I90" s="3" t="s">
        <v>61</v>
      </c>
      <c r="J90" s="4" t="n">
        <v>44627</v>
      </c>
      <c r="K90" s="3" t="n">
        <f aca="false">ROUND(($X$2-J90)/365,1)</f>
        <v>3.8</v>
      </c>
      <c r="L90" s="5" t="n">
        <v>32300.02</v>
      </c>
      <c r="M90" s="3" t="n">
        <v>4</v>
      </c>
      <c r="N90" s="3" t="n">
        <v>29</v>
      </c>
      <c r="O90" s="3" t="s">
        <v>33</v>
      </c>
      <c r="P90" s="3" t="s">
        <v>67</v>
      </c>
      <c r="Q90" s="3" t="n">
        <v>10</v>
      </c>
      <c r="R90" s="3" t="n">
        <v>9</v>
      </c>
      <c r="S90" s="3" t="s">
        <v>33</v>
      </c>
      <c r="T90" s="6" t="n">
        <v>1.65</v>
      </c>
      <c r="U90" s="3" t="s">
        <v>33</v>
      </c>
      <c r="V90" s="3" t="str">
        <f aca="false">IF((10-Q90)+(10-R90)+IF(O90="Yes",3,0)+IF(S90="No",2,0)&gt;=14,"High",IF((10-Q90)+(10-R90)+IF(O90="Yes",3,0)+IF(S90="No",2,0)&gt;=8,"Medium","Low"))</f>
        <v>Low</v>
      </c>
    </row>
    <row r="91" customFormat="false" ht="15" hidden="false" customHeight="false" outlineLevel="0" collapsed="false">
      <c r="A91" s="3" t="s">
        <v>245</v>
      </c>
      <c r="B91" s="3" t="s">
        <v>246</v>
      </c>
      <c r="C91" s="3" t="n">
        <v>48</v>
      </c>
      <c r="D91" s="3" t="s">
        <v>43</v>
      </c>
      <c r="E91" s="3" t="s">
        <v>50</v>
      </c>
      <c r="F91" s="3" t="s">
        <v>87</v>
      </c>
      <c r="G91" s="3" t="s">
        <v>60</v>
      </c>
      <c r="H91" s="3" t="s">
        <v>38</v>
      </c>
      <c r="I91" s="3" t="s">
        <v>30</v>
      </c>
      <c r="J91" s="4" t="n">
        <v>44627</v>
      </c>
      <c r="K91" s="3" t="n">
        <f aca="false">ROUND(($X$2-J91)/365,1)</f>
        <v>3.8</v>
      </c>
      <c r="L91" s="5" t="n">
        <v>49779.32</v>
      </c>
      <c r="M91" s="3" t="n">
        <v>1</v>
      </c>
      <c r="N91" s="3" t="n">
        <v>59</v>
      </c>
      <c r="O91" s="3" t="s">
        <v>31</v>
      </c>
      <c r="P91" s="3" t="s">
        <v>32</v>
      </c>
      <c r="Q91" s="3" t="n">
        <v>4</v>
      </c>
      <c r="R91" s="3" t="n">
        <v>2</v>
      </c>
      <c r="S91" s="3" t="s">
        <v>33</v>
      </c>
      <c r="T91" s="6" t="n">
        <v>7.24</v>
      </c>
      <c r="U91" s="3" t="s">
        <v>31</v>
      </c>
      <c r="V91" s="3" t="str">
        <f aca="false">IF((10-Q91)+(10-R91)+IF(O91="Yes",3,0)+IF(S91="No",2,0)&gt;=14,"High",IF((10-Q91)+(10-R91)+IF(O91="Yes",3,0)+IF(S91="No",2,0)&gt;=8,"Medium","Low"))</f>
        <v>High</v>
      </c>
    </row>
    <row r="92" customFormat="false" ht="15" hidden="false" customHeight="false" outlineLevel="0" collapsed="false">
      <c r="A92" s="3" t="s">
        <v>247</v>
      </c>
      <c r="B92" s="3" t="s">
        <v>248</v>
      </c>
      <c r="C92" s="3" t="n">
        <v>51</v>
      </c>
      <c r="D92" s="3" t="s">
        <v>25</v>
      </c>
      <c r="E92" s="3" t="s">
        <v>64</v>
      </c>
      <c r="F92" s="3" t="s">
        <v>140</v>
      </c>
      <c r="G92" s="3" t="s">
        <v>28</v>
      </c>
      <c r="H92" s="3" t="s">
        <v>29</v>
      </c>
      <c r="I92" s="3" t="s">
        <v>47</v>
      </c>
      <c r="J92" s="4" t="n">
        <v>44635</v>
      </c>
      <c r="K92" s="3" t="n">
        <f aca="false">ROUND(($X$2-J92)/365,1)</f>
        <v>3.8</v>
      </c>
      <c r="L92" s="5" t="n">
        <v>37333.78</v>
      </c>
      <c r="M92" s="3" t="n">
        <v>2</v>
      </c>
      <c r="N92" s="3" t="n">
        <v>30</v>
      </c>
      <c r="O92" s="3" t="s">
        <v>31</v>
      </c>
      <c r="P92" s="3" t="s">
        <v>32</v>
      </c>
      <c r="Q92" s="3" t="n">
        <v>8</v>
      </c>
      <c r="R92" s="3" t="n">
        <v>1</v>
      </c>
      <c r="S92" s="3" t="s">
        <v>31</v>
      </c>
      <c r="T92" s="6" t="n">
        <v>8.26</v>
      </c>
      <c r="U92" s="3" t="s">
        <v>31</v>
      </c>
      <c r="V92" s="3" t="str">
        <f aca="false">IF((10-Q92)+(10-R92)+IF(O92="Yes",3,0)+IF(S92="No",2,0)&gt;=14,"High",IF((10-Q92)+(10-R92)+IF(O92="Yes",3,0)+IF(S92="No",2,0)&gt;=8,"Medium","Low"))</f>
        <v>High</v>
      </c>
    </row>
    <row r="93" customFormat="false" ht="15" hidden="false" customHeight="false" outlineLevel="0" collapsed="false">
      <c r="A93" s="3" t="s">
        <v>249</v>
      </c>
      <c r="B93" s="3" t="s">
        <v>250</v>
      </c>
      <c r="C93" s="3" t="n">
        <v>38</v>
      </c>
      <c r="D93" s="3" t="s">
        <v>25</v>
      </c>
      <c r="E93" s="3" t="s">
        <v>73</v>
      </c>
      <c r="F93" s="3" t="s">
        <v>147</v>
      </c>
      <c r="G93" s="3" t="s">
        <v>46</v>
      </c>
      <c r="H93" s="3" t="s">
        <v>52</v>
      </c>
      <c r="I93" s="3" t="s">
        <v>81</v>
      </c>
      <c r="J93" s="4" t="n">
        <v>44653</v>
      </c>
      <c r="K93" s="3" t="n">
        <f aca="false">ROUND(($X$2-J93)/365,1)</f>
        <v>3.8</v>
      </c>
      <c r="L93" s="5" t="n">
        <v>52674.69</v>
      </c>
      <c r="M93" s="3" t="n">
        <v>4</v>
      </c>
      <c r="N93" s="3" t="n">
        <v>29</v>
      </c>
      <c r="O93" s="3" t="s">
        <v>33</v>
      </c>
      <c r="P93" s="3" t="s">
        <v>40</v>
      </c>
      <c r="Q93" s="3" t="n">
        <v>8</v>
      </c>
      <c r="R93" s="3" t="n">
        <v>10</v>
      </c>
      <c r="S93" s="3" t="s">
        <v>33</v>
      </c>
      <c r="T93" s="6" t="n">
        <v>10.04</v>
      </c>
      <c r="U93" s="3" t="s">
        <v>33</v>
      </c>
      <c r="V93" s="3" t="str">
        <f aca="false">IF((10-Q93)+(10-R93)+IF(O93="Yes",3,0)+IF(S93="No",2,0)&gt;=14,"High",IF((10-Q93)+(10-R93)+IF(O93="Yes",3,0)+IF(S93="No",2,0)&gt;=8,"Medium","Low"))</f>
        <v>Low</v>
      </c>
    </row>
    <row r="94" customFormat="false" ht="15" hidden="false" customHeight="false" outlineLevel="0" collapsed="false">
      <c r="A94" s="3" t="s">
        <v>251</v>
      </c>
      <c r="B94" s="3" t="s">
        <v>252</v>
      </c>
      <c r="C94" s="3" t="n">
        <v>38</v>
      </c>
      <c r="D94" s="3" t="s">
        <v>43</v>
      </c>
      <c r="E94" s="3" t="s">
        <v>73</v>
      </c>
      <c r="F94" s="3" t="s">
        <v>147</v>
      </c>
      <c r="G94" s="3" t="s">
        <v>77</v>
      </c>
      <c r="H94" s="3" t="s">
        <v>38</v>
      </c>
      <c r="I94" s="3" t="s">
        <v>39</v>
      </c>
      <c r="J94" s="4" t="n">
        <v>44660</v>
      </c>
      <c r="K94" s="3" t="n">
        <f aca="false">ROUND(($X$2-J94)/365,1)</f>
        <v>3.7</v>
      </c>
      <c r="L94" s="5" t="n">
        <v>102476.45</v>
      </c>
      <c r="M94" s="3" t="n">
        <v>3</v>
      </c>
      <c r="N94" s="3" t="n">
        <v>4</v>
      </c>
      <c r="O94" s="3" t="s">
        <v>33</v>
      </c>
      <c r="P94" s="3" t="s">
        <v>32</v>
      </c>
      <c r="Q94" s="3" t="n">
        <v>6</v>
      </c>
      <c r="R94" s="3" t="n">
        <v>4</v>
      </c>
      <c r="S94" s="3" t="s">
        <v>33</v>
      </c>
      <c r="T94" s="6" t="n">
        <v>3.26</v>
      </c>
      <c r="U94" s="3" t="s">
        <v>31</v>
      </c>
      <c r="V94" s="3" t="str">
        <f aca="false">IF((10-Q94)+(10-R94)+IF(O94="Yes",3,0)+IF(S94="No",2,0)&gt;=14,"High",IF((10-Q94)+(10-R94)+IF(O94="Yes",3,0)+IF(S94="No",2,0)&gt;=8,"Medium","Low"))</f>
        <v>Medium</v>
      </c>
    </row>
    <row r="95" customFormat="false" ht="15" hidden="false" customHeight="false" outlineLevel="0" collapsed="false">
      <c r="A95" s="3" t="s">
        <v>253</v>
      </c>
      <c r="B95" s="3" t="s">
        <v>254</v>
      </c>
      <c r="C95" s="3" t="n">
        <v>44</v>
      </c>
      <c r="D95" s="3" t="s">
        <v>43</v>
      </c>
      <c r="E95" s="3" t="s">
        <v>44</v>
      </c>
      <c r="F95" s="3" t="s">
        <v>45</v>
      </c>
      <c r="G95" s="3" t="s">
        <v>28</v>
      </c>
      <c r="H95" s="3" t="s">
        <v>29</v>
      </c>
      <c r="I95" s="3" t="s">
        <v>39</v>
      </c>
      <c r="J95" s="4" t="n">
        <v>44681</v>
      </c>
      <c r="K95" s="3" t="n">
        <f aca="false">ROUND(($X$2-J95)/365,1)</f>
        <v>3.7</v>
      </c>
      <c r="L95" s="5" t="n">
        <v>86181.62</v>
      </c>
      <c r="M95" s="3" t="n">
        <v>5</v>
      </c>
      <c r="N95" s="3" t="n">
        <v>11</v>
      </c>
      <c r="O95" s="3" t="s">
        <v>33</v>
      </c>
      <c r="P95" s="3" t="s">
        <v>32</v>
      </c>
      <c r="Q95" s="3" t="n">
        <v>1</v>
      </c>
      <c r="R95" s="3" t="n">
        <v>5</v>
      </c>
      <c r="S95" s="3" t="s">
        <v>31</v>
      </c>
      <c r="T95" s="6" t="n">
        <v>7.93</v>
      </c>
      <c r="U95" s="3" t="s">
        <v>33</v>
      </c>
      <c r="V95" s="3" t="str">
        <f aca="false">IF((10-Q95)+(10-R95)+IF(O95="Yes",3,0)+IF(S95="No",2,0)&gt;=14,"High",IF((10-Q95)+(10-R95)+IF(O95="Yes",3,0)+IF(S95="No",2,0)&gt;=8,"Medium","Low"))</f>
        <v>High</v>
      </c>
    </row>
    <row r="96" customFormat="false" ht="15" hidden="false" customHeight="false" outlineLevel="0" collapsed="false">
      <c r="A96" s="3" t="s">
        <v>255</v>
      </c>
      <c r="B96" s="3" t="s">
        <v>256</v>
      </c>
      <c r="C96" s="3" t="n">
        <v>53</v>
      </c>
      <c r="D96" s="3" t="s">
        <v>25</v>
      </c>
      <c r="E96" s="3" t="s">
        <v>36</v>
      </c>
      <c r="F96" s="3" t="s">
        <v>37</v>
      </c>
      <c r="G96" s="3" t="s">
        <v>60</v>
      </c>
      <c r="H96" s="3" t="s">
        <v>52</v>
      </c>
      <c r="I96" s="3" t="s">
        <v>116</v>
      </c>
      <c r="J96" s="4" t="n">
        <v>44698</v>
      </c>
      <c r="K96" s="3" t="n">
        <f aca="false">ROUND(($X$2-J96)/365,1)</f>
        <v>3.6</v>
      </c>
      <c r="L96" s="5" t="n">
        <v>125408.22</v>
      </c>
      <c r="M96" s="3" t="n">
        <v>5</v>
      </c>
      <c r="N96" s="3" t="n">
        <v>48</v>
      </c>
      <c r="O96" s="3" t="s">
        <v>31</v>
      </c>
      <c r="P96" s="3" t="s">
        <v>40</v>
      </c>
      <c r="Q96" s="3" t="n">
        <v>9</v>
      </c>
      <c r="R96" s="3" t="n">
        <v>7</v>
      </c>
      <c r="S96" s="3" t="s">
        <v>33</v>
      </c>
      <c r="T96" s="6" t="n">
        <v>0.35</v>
      </c>
      <c r="U96" s="3" t="s">
        <v>31</v>
      </c>
      <c r="V96" s="3" t="str">
        <f aca="false">IF((10-Q96)+(10-R96)+IF(O96="Yes",3,0)+IF(S96="No",2,0)&gt;=14,"High",IF((10-Q96)+(10-R96)+IF(O96="Yes",3,0)+IF(S96="No",2,0)&gt;=8,"Medium","Low"))</f>
        <v>Medium</v>
      </c>
    </row>
    <row r="97" customFormat="false" ht="15" hidden="false" customHeight="false" outlineLevel="0" collapsed="false">
      <c r="A97" s="3" t="s">
        <v>257</v>
      </c>
      <c r="B97" s="3" t="s">
        <v>258</v>
      </c>
      <c r="C97" s="3" t="n">
        <v>46</v>
      </c>
      <c r="D97" s="3" t="s">
        <v>43</v>
      </c>
      <c r="E97" s="3" t="s">
        <v>64</v>
      </c>
      <c r="F97" s="3" t="s">
        <v>115</v>
      </c>
      <c r="G97" s="3" t="s">
        <v>60</v>
      </c>
      <c r="H97" s="3" t="s">
        <v>29</v>
      </c>
      <c r="I97" s="3" t="s">
        <v>97</v>
      </c>
      <c r="J97" s="4" t="n">
        <v>44747</v>
      </c>
      <c r="K97" s="3" t="n">
        <f aca="false">ROUND(($X$2-J97)/365,1)</f>
        <v>3.5</v>
      </c>
      <c r="L97" s="5" t="n">
        <v>36449.26</v>
      </c>
      <c r="M97" s="3" t="n">
        <v>5</v>
      </c>
      <c r="N97" s="3" t="n">
        <v>36</v>
      </c>
      <c r="O97" s="3" t="s">
        <v>33</v>
      </c>
      <c r="P97" s="3" t="s">
        <v>67</v>
      </c>
      <c r="Q97" s="3" t="n">
        <v>6</v>
      </c>
      <c r="R97" s="3" t="n">
        <v>9</v>
      </c>
      <c r="S97" s="3" t="s">
        <v>33</v>
      </c>
      <c r="T97" s="6" t="n">
        <v>1.33</v>
      </c>
      <c r="U97" s="3" t="s">
        <v>33</v>
      </c>
      <c r="V97" s="3" t="str">
        <f aca="false">IF((10-Q97)+(10-R97)+IF(O97="Yes",3,0)+IF(S97="No",2,0)&gt;=14,"High",IF((10-Q97)+(10-R97)+IF(O97="Yes",3,0)+IF(S97="No",2,0)&gt;=8,"Medium","Low"))</f>
        <v>Low</v>
      </c>
    </row>
    <row r="98" customFormat="false" ht="15" hidden="false" customHeight="false" outlineLevel="0" collapsed="false">
      <c r="A98" s="3" t="s">
        <v>259</v>
      </c>
      <c r="B98" s="3" t="s">
        <v>260</v>
      </c>
      <c r="C98" s="3" t="n">
        <v>35</v>
      </c>
      <c r="D98" s="3" t="s">
        <v>25</v>
      </c>
      <c r="E98" s="3" t="s">
        <v>44</v>
      </c>
      <c r="F98" s="3" t="s">
        <v>59</v>
      </c>
      <c r="G98" s="3" t="s">
        <v>77</v>
      </c>
      <c r="H98" s="3" t="s">
        <v>38</v>
      </c>
      <c r="I98" s="3" t="s">
        <v>66</v>
      </c>
      <c r="J98" s="4" t="n">
        <v>44766</v>
      </c>
      <c r="K98" s="3" t="n">
        <f aca="false">ROUND(($X$2-J98)/365,1)</f>
        <v>3.4</v>
      </c>
      <c r="L98" s="5" t="n">
        <v>124161.38</v>
      </c>
      <c r="M98" s="3" t="n">
        <v>2</v>
      </c>
      <c r="N98" s="3" t="n">
        <v>30</v>
      </c>
      <c r="O98" s="3" t="s">
        <v>33</v>
      </c>
      <c r="P98" s="3" t="s">
        <v>32</v>
      </c>
      <c r="Q98" s="3" t="n">
        <v>4</v>
      </c>
      <c r="R98" s="3" t="n">
        <v>3</v>
      </c>
      <c r="S98" s="3" t="s">
        <v>31</v>
      </c>
      <c r="T98" s="6" t="n">
        <v>14.88</v>
      </c>
      <c r="U98" s="3" t="s">
        <v>33</v>
      </c>
      <c r="V98" s="3" t="str">
        <f aca="false">IF((10-Q98)+(10-R98)+IF(O98="Yes",3,0)+IF(S98="No",2,0)&gt;=14,"High",IF((10-Q98)+(10-R98)+IF(O98="Yes",3,0)+IF(S98="No",2,0)&gt;=8,"Medium","Low"))</f>
        <v>Medium</v>
      </c>
    </row>
    <row r="99" customFormat="false" ht="15" hidden="false" customHeight="false" outlineLevel="0" collapsed="false">
      <c r="A99" s="3" t="s">
        <v>261</v>
      </c>
      <c r="B99" s="3" t="s">
        <v>262</v>
      </c>
      <c r="C99" s="3" t="n">
        <v>34</v>
      </c>
      <c r="D99" s="3" t="s">
        <v>43</v>
      </c>
      <c r="E99" s="3" t="s">
        <v>55</v>
      </c>
      <c r="F99" s="3" t="s">
        <v>107</v>
      </c>
      <c r="G99" s="3" t="s">
        <v>77</v>
      </c>
      <c r="H99" s="3" t="s">
        <v>29</v>
      </c>
      <c r="I99" s="3" t="s">
        <v>47</v>
      </c>
      <c r="J99" s="4" t="n">
        <v>44785</v>
      </c>
      <c r="K99" s="3" t="n">
        <f aca="false">ROUND(($X$2-J99)/365,1)</f>
        <v>3.4</v>
      </c>
      <c r="L99" s="5" t="n">
        <v>84079.63</v>
      </c>
      <c r="M99" s="3" t="n">
        <v>4</v>
      </c>
      <c r="N99" s="3" t="n">
        <v>4</v>
      </c>
      <c r="O99" s="3" t="s">
        <v>33</v>
      </c>
      <c r="P99" s="3" t="s">
        <v>32</v>
      </c>
      <c r="Q99" s="3" t="n">
        <v>9</v>
      </c>
      <c r="R99" s="3" t="n">
        <v>8</v>
      </c>
      <c r="S99" s="3" t="s">
        <v>33</v>
      </c>
      <c r="T99" s="6" t="n">
        <v>4.58</v>
      </c>
      <c r="U99" s="3" t="s">
        <v>33</v>
      </c>
      <c r="V99" s="3" t="str">
        <f aca="false">IF((10-Q99)+(10-R99)+IF(O99="Yes",3,0)+IF(S99="No",2,0)&gt;=14,"High",IF((10-Q99)+(10-R99)+IF(O99="Yes",3,0)+IF(S99="No",2,0)&gt;=8,"Medium","Low"))</f>
        <v>Low</v>
      </c>
    </row>
    <row r="100" customFormat="false" ht="15" hidden="false" customHeight="false" outlineLevel="0" collapsed="false">
      <c r="A100" s="3" t="s">
        <v>263</v>
      </c>
      <c r="B100" s="3" t="s">
        <v>264</v>
      </c>
      <c r="C100" s="3" t="n">
        <v>48</v>
      </c>
      <c r="D100" s="3" t="s">
        <v>43</v>
      </c>
      <c r="E100" s="3" t="s">
        <v>55</v>
      </c>
      <c r="F100" s="3" t="s">
        <v>121</v>
      </c>
      <c r="G100" s="3" t="s">
        <v>28</v>
      </c>
      <c r="H100" s="3" t="s">
        <v>38</v>
      </c>
      <c r="I100" s="3" t="s">
        <v>61</v>
      </c>
      <c r="J100" s="4" t="n">
        <v>44786</v>
      </c>
      <c r="K100" s="3" t="n">
        <f aca="false">ROUND(($X$2-J100)/365,1)</f>
        <v>3.4</v>
      </c>
      <c r="L100" s="5" t="n">
        <v>66192.54</v>
      </c>
      <c r="M100" s="3" t="n">
        <v>1</v>
      </c>
      <c r="N100" s="3" t="n">
        <v>49</v>
      </c>
      <c r="O100" s="3" t="s">
        <v>33</v>
      </c>
      <c r="P100" s="3" t="s">
        <v>67</v>
      </c>
      <c r="Q100" s="3" t="n">
        <v>8</v>
      </c>
      <c r="R100" s="3" t="n">
        <v>5</v>
      </c>
      <c r="S100" s="3" t="s">
        <v>33</v>
      </c>
      <c r="T100" s="6" t="n">
        <v>8.61</v>
      </c>
      <c r="U100" s="3" t="s">
        <v>33</v>
      </c>
      <c r="V100" s="3" t="str">
        <f aca="false">IF((10-Q100)+(10-R100)+IF(O100="Yes",3,0)+IF(S100="No",2,0)&gt;=14,"High",IF((10-Q100)+(10-R100)+IF(O100="Yes",3,0)+IF(S100="No",2,0)&gt;=8,"Medium","Low"))</f>
        <v>Medium</v>
      </c>
    </row>
    <row r="101" customFormat="false" ht="15" hidden="false" customHeight="false" outlineLevel="0" collapsed="false">
      <c r="A101" s="3" t="s">
        <v>265</v>
      </c>
      <c r="B101" s="3" t="s">
        <v>266</v>
      </c>
      <c r="C101" s="3" t="n">
        <v>39</v>
      </c>
      <c r="D101" s="3" t="s">
        <v>25</v>
      </c>
      <c r="E101" s="3" t="s">
        <v>64</v>
      </c>
      <c r="F101" s="3" t="s">
        <v>140</v>
      </c>
      <c r="G101" s="3" t="s">
        <v>28</v>
      </c>
      <c r="H101" s="3" t="s">
        <v>38</v>
      </c>
      <c r="I101" s="3" t="s">
        <v>30</v>
      </c>
      <c r="J101" s="4" t="n">
        <v>44788</v>
      </c>
      <c r="K101" s="3" t="n">
        <f aca="false">ROUND(($X$2-J101)/365,1)</f>
        <v>3.4</v>
      </c>
      <c r="L101" s="5" t="n">
        <v>36010.67</v>
      </c>
      <c r="M101" s="3" t="n">
        <v>4</v>
      </c>
      <c r="N101" s="3" t="n">
        <v>46</v>
      </c>
      <c r="O101" s="3" t="s">
        <v>31</v>
      </c>
      <c r="P101" s="3" t="s">
        <v>67</v>
      </c>
      <c r="Q101" s="3" t="n">
        <v>6</v>
      </c>
      <c r="R101" s="3" t="n">
        <v>5</v>
      </c>
      <c r="S101" s="3" t="s">
        <v>33</v>
      </c>
      <c r="T101" s="6" t="n">
        <v>10.04</v>
      </c>
      <c r="U101" s="3" t="s">
        <v>31</v>
      </c>
      <c r="V101" s="3" t="str">
        <f aca="false">IF((10-Q101)+(10-R101)+IF(O101="Yes",3,0)+IF(S101="No",2,0)&gt;=14,"High",IF((10-Q101)+(10-R101)+IF(O101="Yes",3,0)+IF(S101="No",2,0)&gt;=8,"Medium","Low"))</f>
        <v>High</v>
      </c>
    </row>
    <row r="102" customFormat="false" ht="15" hidden="false" customHeight="false" outlineLevel="0" collapsed="false">
      <c r="A102" s="3" t="s">
        <v>267</v>
      </c>
      <c r="B102" s="3" t="s">
        <v>268</v>
      </c>
      <c r="C102" s="3" t="n">
        <v>52</v>
      </c>
      <c r="D102" s="3" t="s">
        <v>25</v>
      </c>
      <c r="E102" s="3" t="s">
        <v>36</v>
      </c>
      <c r="F102" s="3" t="s">
        <v>37</v>
      </c>
      <c r="G102" s="3" t="s">
        <v>60</v>
      </c>
      <c r="H102" s="3" t="s">
        <v>52</v>
      </c>
      <c r="I102" s="3" t="s">
        <v>61</v>
      </c>
      <c r="J102" s="4" t="n">
        <v>44802</v>
      </c>
      <c r="K102" s="3" t="n">
        <f aca="false">ROUND(($X$2-J102)/365,1)</f>
        <v>3.3</v>
      </c>
      <c r="L102" s="5" t="n">
        <v>141058.56</v>
      </c>
      <c r="M102" s="3" t="n">
        <v>4</v>
      </c>
      <c r="N102" s="3" t="n">
        <v>35</v>
      </c>
      <c r="O102" s="3" t="s">
        <v>33</v>
      </c>
      <c r="P102" s="3" t="s">
        <v>67</v>
      </c>
      <c r="Q102" s="3" t="n">
        <v>3</v>
      </c>
      <c r="R102" s="3" t="n">
        <v>5</v>
      </c>
      <c r="S102" s="3" t="s">
        <v>31</v>
      </c>
      <c r="T102" s="6" t="n">
        <v>1.23</v>
      </c>
      <c r="U102" s="3" t="s">
        <v>33</v>
      </c>
      <c r="V102" s="3" t="str">
        <f aca="false">IF((10-Q102)+(10-R102)+IF(O102="Yes",3,0)+IF(S102="No",2,0)&gt;=14,"High",IF((10-Q102)+(10-R102)+IF(O102="Yes",3,0)+IF(S102="No",2,0)&gt;=8,"Medium","Low"))</f>
        <v>Medium</v>
      </c>
    </row>
    <row r="103" customFormat="false" ht="15" hidden="false" customHeight="false" outlineLevel="0" collapsed="false">
      <c r="A103" s="3" t="s">
        <v>269</v>
      </c>
      <c r="B103" s="3" t="s">
        <v>270</v>
      </c>
      <c r="C103" s="3" t="n">
        <v>52</v>
      </c>
      <c r="D103" s="3" t="s">
        <v>25</v>
      </c>
      <c r="E103" s="3" t="s">
        <v>64</v>
      </c>
      <c r="F103" s="3" t="s">
        <v>65</v>
      </c>
      <c r="G103" s="3" t="s">
        <v>60</v>
      </c>
      <c r="H103" s="3" t="s">
        <v>29</v>
      </c>
      <c r="I103" s="3" t="s">
        <v>81</v>
      </c>
      <c r="J103" s="4" t="n">
        <v>44848</v>
      </c>
      <c r="K103" s="3" t="n">
        <f aca="false">ROUND(($X$2-J103)/365,1)</f>
        <v>3.2</v>
      </c>
      <c r="L103" s="5" t="n">
        <v>175008.88</v>
      </c>
      <c r="M103" s="3" t="n">
        <v>3</v>
      </c>
      <c r="N103" s="3" t="n">
        <v>57</v>
      </c>
      <c r="O103" s="3" t="s">
        <v>31</v>
      </c>
      <c r="P103" s="3" t="s">
        <v>40</v>
      </c>
      <c r="Q103" s="3" t="n">
        <v>4</v>
      </c>
      <c r="R103" s="3" t="n">
        <v>5</v>
      </c>
      <c r="S103" s="3" t="s">
        <v>33</v>
      </c>
      <c r="T103" s="6" t="n">
        <v>12.34</v>
      </c>
      <c r="U103" s="3" t="s">
        <v>31</v>
      </c>
      <c r="V103" s="3" t="str">
        <f aca="false">IF((10-Q103)+(10-R103)+IF(O103="Yes",3,0)+IF(S103="No",2,0)&gt;=14,"High",IF((10-Q103)+(10-R103)+IF(O103="Yes",3,0)+IF(S103="No",2,0)&gt;=8,"Medium","Low"))</f>
        <v>High</v>
      </c>
    </row>
    <row r="104" customFormat="false" ht="15" hidden="false" customHeight="false" outlineLevel="0" collapsed="false">
      <c r="A104" s="3" t="s">
        <v>271</v>
      </c>
      <c r="B104" s="3" t="s">
        <v>272</v>
      </c>
      <c r="C104" s="3" t="n">
        <v>32</v>
      </c>
      <c r="D104" s="3" t="s">
        <v>25</v>
      </c>
      <c r="E104" s="3" t="s">
        <v>36</v>
      </c>
      <c r="F104" s="3" t="s">
        <v>37</v>
      </c>
      <c r="G104" s="3" t="s">
        <v>60</v>
      </c>
      <c r="H104" s="3" t="s">
        <v>38</v>
      </c>
      <c r="I104" s="3" t="s">
        <v>61</v>
      </c>
      <c r="J104" s="4" t="n">
        <v>44882</v>
      </c>
      <c r="K104" s="3" t="n">
        <f aca="false">ROUND(($X$2-J104)/365,1)</f>
        <v>3.1</v>
      </c>
      <c r="L104" s="5" t="n">
        <v>53151.31</v>
      </c>
      <c r="M104" s="3" t="n">
        <v>4</v>
      </c>
      <c r="N104" s="3" t="n">
        <v>16</v>
      </c>
      <c r="O104" s="3" t="s">
        <v>31</v>
      </c>
      <c r="P104" s="3" t="s">
        <v>32</v>
      </c>
      <c r="Q104" s="3" t="n">
        <v>6</v>
      </c>
      <c r="R104" s="3" t="n">
        <v>9</v>
      </c>
      <c r="S104" s="3" t="s">
        <v>31</v>
      </c>
      <c r="T104" s="6" t="n">
        <v>2</v>
      </c>
      <c r="U104" s="3" t="s">
        <v>33</v>
      </c>
      <c r="V104" s="3" t="str">
        <f aca="false">IF((10-Q104)+(10-R104)+IF(O104="Yes",3,0)+IF(S104="No",2,0)&gt;=14,"High",IF((10-Q104)+(10-R104)+IF(O104="Yes",3,0)+IF(S104="No",2,0)&gt;=8,"Medium","Low"))</f>
        <v>Medium</v>
      </c>
    </row>
    <row r="105" customFormat="false" ht="15" hidden="false" customHeight="false" outlineLevel="0" collapsed="false">
      <c r="A105" s="3" t="s">
        <v>273</v>
      </c>
      <c r="B105" s="3" t="s">
        <v>142</v>
      </c>
      <c r="C105" s="3" t="n">
        <v>51</v>
      </c>
      <c r="D105" s="3" t="s">
        <v>25</v>
      </c>
      <c r="E105" s="3" t="s">
        <v>64</v>
      </c>
      <c r="F105" s="3" t="s">
        <v>140</v>
      </c>
      <c r="G105" s="3" t="s">
        <v>46</v>
      </c>
      <c r="H105" s="3" t="s">
        <v>38</v>
      </c>
      <c r="I105" s="3" t="s">
        <v>39</v>
      </c>
      <c r="J105" s="4" t="n">
        <v>44977</v>
      </c>
      <c r="K105" s="3" t="n">
        <f aca="false">ROUND(($X$2-J105)/365,1)</f>
        <v>2.9</v>
      </c>
      <c r="L105" s="5" t="n">
        <v>178204.74</v>
      </c>
      <c r="M105" s="3" t="n">
        <v>3</v>
      </c>
      <c r="N105" s="3" t="n">
        <v>50</v>
      </c>
      <c r="O105" s="3" t="s">
        <v>31</v>
      </c>
      <c r="P105" s="3" t="s">
        <v>40</v>
      </c>
      <c r="Q105" s="3" t="n">
        <v>8</v>
      </c>
      <c r="R105" s="3" t="n">
        <v>5</v>
      </c>
      <c r="S105" s="3" t="s">
        <v>33</v>
      </c>
      <c r="T105" s="6" t="n">
        <v>12.84</v>
      </c>
      <c r="U105" s="3" t="s">
        <v>31</v>
      </c>
      <c r="V105" s="3" t="str">
        <f aca="false">IF((10-Q105)+(10-R105)+IF(O105="Yes",3,0)+IF(S105="No",2,0)&gt;=14,"High",IF((10-Q105)+(10-R105)+IF(O105="Yes",3,0)+IF(S105="No",2,0)&gt;=8,"Medium","Low"))</f>
        <v>Medium</v>
      </c>
    </row>
    <row r="106" customFormat="false" ht="15" hidden="false" customHeight="false" outlineLevel="0" collapsed="false">
      <c r="A106" s="3" t="s">
        <v>274</v>
      </c>
      <c r="B106" s="3" t="s">
        <v>217</v>
      </c>
      <c r="C106" s="3" t="n">
        <v>26</v>
      </c>
      <c r="D106" s="3" t="s">
        <v>25</v>
      </c>
      <c r="E106" s="3" t="s">
        <v>64</v>
      </c>
      <c r="F106" s="3" t="s">
        <v>115</v>
      </c>
      <c r="G106" s="3" t="s">
        <v>28</v>
      </c>
      <c r="H106" s="3" t="s">
        <v>29</v>
      </c>
      <c r="I106" s="3" t="s">
        <v>66</v>
      </c>
      <c r="J106" s="4" t="n">
        <v>44979</v>
      </c>
      <c r="K106" s="3" t="n">
        <f aca="false">ROUND(($X$2-J106)/365,1)</f>
        <v>2.9</v>
      </c>
      <c r="L106" s="5" t="n">
        <v>115894.03</v>
      </c>
      <c r="M106" s="3" t="n">
        <v>5</v>
      </c>
      <c r="N106" s="3" t="n">
        <v>36</v>
      </c>
      <c r="O106" s="3" t="s">
        <v>33</v>
      </c>
      <c r="P106" s="3" t="s">
        <v>32</v>
      </c>
      <c r="Q106" s="3" t="n">
        <v>6</v>
      </c>
      <c r="R106" s="3" t="n">
        <v>5</v>
      </c>
      <c r="S106" s="3" t="s">
        <v>33</v>
      </c>
      <c r="T106" s="6" t="n">
        <v>5.15</v>
      </c>
      <c r="U106" s="3" t="s">
        <v>33</v>
      </c>
      <c r="V106" s="3" t="str">
        <f aca="false">IF((10-Q106)+(10-R106)+IF(O106="Yes",3,0)+IF(S106="No",2,0)&gt;=14,"High",IF((10-Q106)+(10-R106)+IF(O106="Yes",3,0)+IF(S106="No",2,0)&gt;=8,"Medium","Low"))</f>
        <v>Medium</v>
      </c>
    </row>
    <row r="107" customFormat="false" ht="15" hidden="false" customHeight="false" outlineLevel="0" collapsed="false">
      <c r="A107" s="3" t="s">
        <v>275</v>
      </c>
      <c r="B107" s="3" t="s">
        <v>276</v>
      </c>
      <c r="C107" s="3" t="n">
        <v>42</v>
      </c>
      <c r="D107" s="3" t="s">
        <v>43</v>
      </c>
      <c r="E107" s="3" t="s">
        <v>26</v>
      </c>
      <c r="F107" s="3" t="s">
        <v>174</v>
      </c>
      <c r="G107" s="3" t="s">
        <v>77</v>
      </c>
      <c r="H107" s="3" t="s">
        <v>38</v>
      </c>
      <c r="I107" s="3" t="s">
        <v>61</v>
      </c>
      <c r="J107" s="4" t="n">
        <v>44987</v>
      </c>
      <c r="K107" s="3" t="n">
        <f aca="false">ROUND(($X$2-J107)/365,1)</f>
        <v>2.8</v>
      </c>
      <c r="L107" s="5" t="n">
        <v>52615.28</v>
      </c>
      <c r="M107" s="3" t="n">
        <v>4</v>
      </c>
      <c r="N107" s="3" t="n">
        <v>29</v>
      </c>
      <c r="O107" s="3" t="s">
        <v>31</v>
      </c>
      <c r="P107" s="3" t="s">
        <v>32</v>
      </c>
      <c r="Q107" s="3" t="n">
        <v>7</v>
      </c>
      <c r="R107" s="3" t="n">
        <v>7</v>
      </c>
      <c r="S107" s="3" t="s">
        <v>31</v>
      </c>
      <c r="T107" s="6" t="n">
        <v>2.22</v>
      </c>
      <c r="U107" s="3" t="s">
        <v>33</v>
      </c>
      <c r="V107" s="3" t="str">
        <f aca="false">IF((10-Q107)+(10-R107)+IF(O107="Yes",3,0)+IF(S107="No",2,0)&gt;=14,"High",IF((10-Q107)+(10-R107)+IF(O107="Yes",3,0)+IF(S107="No",2,0)&gt;=8,"Medium","Low"))</f>
        <v>Medium</v>
      </c>
    </row>
    <row r="108" customFormat="false" ht="15" hidden="false" customHeight="false" outlineLevel="0" collapsed="false">
      <c r="A108" s="3" t="s">
        <v>277</v>
      </c>
      <c r="B108" s="3" t="s">
        <v>278</v>
      </c>
      <c r="C108" s="3" t="n">
        <v>27</v>
      </c>
      <c r="D108" s="3" t="s">
        <v>25</v>
      </c>
      <c r="E108" s="3" t="s">
        <v>36</v>
      </c>
      <c r="F108" s="3" t="s">
        <v>37</v>
      </c>
      <c r="G108" s="3" t="s">
        <v>28</v>
      </c>
      <c r="H108" s="3" t="s">
        <v>38</v>
      </c>
      <c r="I108" s="3" t="s">
        <v>30</v>
      </c>
      <c r="J108" s="4" t="n">
        <v>44994</v>
      </c>
      <c r="K108" s="3" t="n">
        <f aca="false">ROUND(($X$2-J108)/365,1)</f>
        <v>2.8</v>
      </c>
      <c r="L108" s="5" t="n">
        <v>182332.17</v>
      </c>
      <c r="M108" s="3" t="n">
        <v>2</v>
      </c>
      <c r="N108" s="3" t="n">
        <v>45</v>
      </c>
      <c r="O108" s="3" t="s">
        <v>33</v>
      </c>
      <c r="P108" s="3" t="s">
        <v>67</v>
      </c>
      <c r="Q108" s="3" t="n">
        <v>6</v>
      </c>
      <c r="R108" s="3" t="n">
        <v>6</v>
      </c>
      <c r="S108" s="3" t="s">
        <v>31</v>
      </c>
      <c r="T108" s="6" t="n">
        <v>3.91</v>
      </c>
      <c r="U108" s="3" t="s">
        <v>33</v>
      </c>
      <c r="V108" s="3" t="str">
        <f aca="false">IF((10-Q108)+(10-R108)+IF(O108="Yes",3,0)+IF(S108="No",2,0)&gt;=14,"High",IF((10-Q108)+(10-R108)+IF(O108="Yes",3,0)+IF(S108="No",2,0)&gt;=8,"Medium","Low"))</f>
        <v>Medium</v>
      </c>
    </row>
    <row r="109" customFormat="false" ht="15" hidden="false" customHeight="false" outlineLevel="0" collapsed="false">
      <c r="A109" s="3" t="s">
        <v>279</v>
      </c>
      <c r="B109" s="3" t="s">
        <v>280</v>
      </c>
      <c r="C109" s="3" t="n">
        <v>55</v>
      </c>
      <c r="D109" s="3" t="s">
        <v>25</v>
      </c>
      <c r="E109" s="3" t="s">
        <v>36</v>
      </c>
      <c r="F109" s="3" t="s">
        <v>100</v>
      </c>
      <c r="G109" s="3" t="s">
        <v>28</v>
      </c>
      <c r="H109" s="3" t="s">
        <v>52</v>
      </c>
      <c r="I109" s="3" t="s">
        <v>66</v>
      </c>
      <c r="J109" s="4" t="n">
        <v>45065</v>
      </c>
      <c r="K109" s="3" t="n">
        <f aca="false">ROUND(($X$2-J109)/365,1)</f>
        <v>2.6</v>
      </c>
      <c r="L109" s="5" t="n">
        <v>160139.56</v>
      </c>
      <c r="M109" s="3" t="n">
        <v>5</v>
      </c>
      <c r="N109" s="3" t="n">
        <v>58</v>
      </c>
      <c r="O109" s="3" t="s">
        <v>31</v>
      </c>
      <c r="P109" s="3" t="s">
        <v>67</v>
      </c>
      <c r="Q109" s="3" t="n">
        <v>9</v>
      </c>
      <c r="R109" s="3" t="n">
        <v>10</v>
      </c>
      <c r="S109" s="3" t="s">
        <v>31</v>
      </c>
      <c r="T109" s="6" t="n">
        <v>2.27</v>
      </c>
      <c r="U109" s="3" t="s">
        <v>31</v>
      </c>
      <c r="V109" s="3" t="str">
        <f aca="false">IF((10-Q109)+(10-R109)+IF(O109="Yes",3,0)+IF(S109="No",2,0)&gt;=14,"High",IF((10-Q109)+(10-R109)+IF(O109="Yes",3,0)+IF(S109="No",2,0)&gt;=8,"Medium","Low"))</f>
        <v>Low</v>
      </c>
    </row>
    <row r="110" customFormat="false" ht="15" hidden="false" customHeight="false" outlineLevel="0" collapsed="false">
      <c r="A110" s="3" t="s">
        <v>281</v>
      </c>
      <c r="B110" s="3" t="s">
        <v>282</v>
      </c>
      <c r="C110" s="3" t="n">
        <v>30</v>
      </c>
      <c r="D110" s="3" t="s">
        <v>43</v>
      </c>
      <c r="E110" s="3" t="s">
        <v>26</v>
      </c>
      <c r="F110" s="3" t="s">
        <v>174</v>
      </c>
      <c r="G110" s="3" t="s">
        <v>60</v>
      </c>
      <c r="H110" s="3" t="s">
        <v>52</v>
      </c>
      <c r="I110" s="3" t="s">
        <v>97</v>
      </c>
      <c r="J110" s="4" t="n">
        <v>45083</v>
      </c>
      <c r="K110" s="3" t="n">
        <f aca="false">ROUND(($X$2-J110)/365,1)</f>
        <v>2.6</v>
      </c>
      <c r="L110" s="5" t="n">
        <v>160756.65</v>
      </c>
      <c r="M110" s="3" t="n">
        <v>3</v>
      </c>
      <c r="N110" s="3" t="n">
        <v>57</v>
      </c>
      <c r="O110" s="3" t="s">
        <v>31</v>
      </c>
      <c r="P110" s="3" t="s">
        <v>40</v>
      </c>
      <c r="Q110" s="3" t="n">
        <v>1</v>
      </c>
      <c r="R110" s="3" t="n">
        <v>4</v>
      </c>
      <c r="S110" s="3" t="s">
        <v>31</v>
      </c>
      <c r="T110" s="6" t="n">
        <v>14.95</v>
      </c>
      <c r="U110" s="3" t="s">
        <v>33</v>
      </c>
      <c r="V110" s="3" t="str">
        <f aca="false">IF((10-Q110)+(10-R110)+IF(O110="Yes",3,0)+IF(S110="No",2,0)&gt;=14,"High",IF((10-Q110)+(10-R110)+IF(O110="Yes",3,0)+IF(S110="No",2,0)&gt;=8,"Medium","Low"))</f>
        <v>High</v>
      </c>
    </row>
    <row r="111" customFormat="false" ht="15" hidden="false" customHeight="false" outlineLevel="0" collapsed="false">
      <c r="A111" s="3" t="s">
        <v>283</v>
      </c>
      <c r="B111" s="3" t="s">
        <v>284</v>
      </c>
      <c r="C111" s="3" t="n">
        <v>58</v>
      </c>
      <c r="D111" s="3" t="s">
        <v>43</v>
      </c>
      <c r="E111" s="3" t="s">
        <v>55</v>
      </c>
      <c r="F111" s="3" t="s">
        <v>121</v>
      </c>
      <c r="G111" s="3" t="s">
        <v>46</v>
      </c>
      <c r="H111" s="3" t="s">
        <v>52</v>
      </c>
      <c r="I111" s="3" t="s">
        <v>97</v>
      </c>
      <c r="J111" s="4" t="n">
        <v>45085</v>
      </c>
      <c r="K111" s="3" t="n">
        <f aca="false">ROUND(($X$2-J111)/365,1)</f>
        <v>2.6</v>
      </c>
      <c r="L111" s="5" t="n">
        <v>66318.71</v>
      </c>
      <c r="M111" s="3" t="n">
        <v>3</v>
      </c>
      <c r="N111" s="3" t="n">
        <v>56</v>
      </c>
      <c r="O111" s="3" t="s">
        <v>31</v>
      </c>
      <c r="P111" s="3" t="s">
        <v>67</v>
      </c>
      <c r="Q111" s="3" t="n">
        <v>3</v>
      </c>
      <c r="R111" s="3" t="n">
        <v>1</v>
      </c>
      <c r="S111" s="3" t="s">
        <v>31</v>
      </c>
      <c r="T111" s="6" t="n">
        <v>4.85</v>
      </c>
      <c r="U111" s="3" t="s">
        <v>31</v>
      </c>
      <c r="V111" s="3" t="str">
        <f aca="false">IF((10-Q111)+(10-R111)+IF(O111="Yes",3,0)+IF(S111="No",2,0)&gt;=14,"High",IF((10-Q111)+(10-R111)+IF(O111="Yes",3,0)+IF(S111="No",2,0)&gt;=8,"Medium","Low"))</f>
        <v>High</v>
      </c>
    </row>
    <row r="112" customFormat="false" ht="15" hidden="false" customHeight="false" outlineLevel="0" collapsed="false">
      <c r="A112" s="3" t="s">
        <v>285</v>
      </c>
      <c r="B112" s="3" t="s">
        <v>94</v>
      </c>
      <c r="C112" s="3" t="n">
        <v>50</v>
      </c>
      <c r="D112" s="3" t="s">
        <v>43</v>
      </c>
      <c r="E112" s="3" t="s">
        <v>44</v>
      </c>
      <c r="F112" s="3" t="s">
        <v>59</v>
      </c>
      <c r="G112" s="3" t="s">
        <v>28</v>
      </c>
      <c r="H112" s="3" t="s">
        <v>52</v>
      </c>
      <c r="I112" s="3" t="s">
        <v>97</v>
      </c>
      <c r="J112" s="4" t="n">
        <v>45126</v>
      </c>
      <c r="K112" s="3" t="n">
        <f aca="false">ROUND(($X$2-J112)/365,1)</f>
        <v>2.5</v>
      </c>
      <c r="L112" s="5" t="n">
        <v>38631.78</v>
      </c>
      <c r="M112" s="3" t="n">
        <v>4</v>
      </c>
      <c r="N112" s="3" t="n">
        <v>41</v>
      </c>
      <c r="O112" s="3" t="s">
        <v>31</v>
      </c>
      <c r="P112" s="3" t="s">
        <v>40</v>
      </c>
      <c r="Q112" s="3" t="n">
        <v>2</v>
      </c>
      <c r="R112" s="3" t="n">
        <v>8</v>
      </c>
      <c r="S112" s="3" t="s">
        <v>31</v>
      </c>
      <c r="T112" s="6" t="n">
        <v>13.71</v>
      </c>
      <c r="U112" s="3" t="s">
        <v>33</v>
      </c>
      <c r="V112" s="3" t="str">
        <f aca="false">IF((10-Q112)+(10-R112)+IF(O112="Yes",3,0)+IF(S112="No",2,0)&gt;=14,"High",IF((10-Q112)+(10-R112)+IF(O112="Yes",3,0)+IF(S112="No",2,0)&gt;=8,"Medium","Low"))</f>
        <v>Medium</v>
      </c>
    </row>
    <row r="113" customFormat="false" ht="15" hidden="false" customHeight="false" outlineLevel="0" collapsed="false">
      <c r="A113" s="3" t="s">
        <v>286</v>
      </c>
      <c r="B113" s="3" t="s">
        <v>287</v>
      </c>
      <c r="C113" s="3" t="n">
        <v>51</v>
      </c>
      <c r="D113" s="3" t="s">
        <v>43</v>
      </c>
      <c r="E113" s="3" t="s">
        <v>36</v>
      </c>
      <c r="F113" s="3" t="s">
        <v>37</v>
      </c>
      <c r="G113" s="3" t="s">
        <v>28</v>
      </c>
      <c r="H113" s="3" t="s">
        <v>52</v>
      </c>
      <c r="I113" s="3" t="s">
        <v>97</v>
      </c>
      <c r="J113" s="4" t="n">
        <v>45132</v>
      </c>
      <c r="K113" s="3" t="n">
        <f aca="false">ROUND(($X$2-J113)/365,1)</f>
        <v>2.4</v>
      </c>
      <c r="L113" s="5" t="n">
        <v>64336.32</v>
      </c>
      <c r="M113" s="3" t="n">
        <v>3</v>
      </c>
      <c r="N113" s="3" t="n">
        <v>9</v>
      </c>
      <c r="O113" s="3" t="s">
        <v>31</v>
      </c>
      <c r="P113" s="3" t="s">
        <v>67</v>
      </c>
      <c r="Q113" s="3" t="n">
        <v>5</v>
      </c>
      <c r="R113" s="3" t="n">
        <v>4</v>
      </c>
      <c r="S113" s="3" t="s">
        <v>33</v>
      </c>
      <c r="T113" s="6" t="n">
        <v>2.05</v>
      </c>
      <c r="U113" s="3" t="s">
        <v>33</v>
      </c>
      <c r="V113" s="3" t="str">
        <f aca="false">IF((10-Q113)+(10-R113)+IF(O113="Yes",3,0)+IF(S113="No",2,0)&gt;=14,"High",IF((10-Q113)+(10-R113)+IF(O113="Yes",3,0)+IF(S113="No",2,0)&gt;=8,"Medium","Low"))</f>
        <v>High</v>
      </c>
    </row>
    <row r="114" customFormat="false" ht="15" hidden="false" customHeight="false" outlineLevel="0" collapsed="false">
      <c r="A114" s="3" t="s">
        <v>288</v>
      </c>
      <c r="B114" s="3" t="s">
        <v>289</v>
      </c>
      <c r="C114" s="3" t="n">
        <v>26</v>
      </c>
      <c r="D114" s="3" t="s">
        <v>25</v>
      </c>
      <c r="E114" s="3" t="s">
        <v>44</v>
      </c>
      <c r="F114" s="3" t="s">
        <v>45</v>
      </c>
      <c r="G114" s="3" t="s">
        <v>46</v>
      </c>
      <c r="H114" s="3" t="s">
        <v>52</v>
      </c>
      <c r="I114" s="3" t="s">
        <v>61</v>
      </c>
      <c r="J114" s="4" t="n">
        <v>45138</v>
      </c>
      <c r="K114" s="3" t="n">
        <f aca="false">ROUND(($X$2-J114)/365,1)</f>
        <v>2.4</v>
      </c>
      <c r="L114" s="5" t="n">
        <v>155986.88</v>
      </c>
      <c r="M114" s="3" t="n">
        <v>5</v>
      </c>
      <c r="N114" s="3" t="n">
        <v>34</v>
      </c>
      <c r="O114" s="3" t="s">
        <v>33</v>
      </c>
      <c r="P114" s="3" t="s">
        <v>40</v>
      </c>
      <c r="Q114" s="3" t="n">
        <v>6</v>
      </c>
      <c r="R114" s="3" t="n">
        <v>3</v>
      </c>
      <c r="S114" s="3" t="s">
        <v>33</v>
      </c>
      <c r="T114" s="6" t="n">
        <v>2.3</v>
      </c>
      <c r="U114" s="3" t="s">
        <v>31</v>
      </c>
      <c r="V114" s="3" t="str">
        <f aca="false">IF((10-Q114)+(10-R114)+IF(O114="Yes",3,0)+IF(S114="No",2,0)&gt;=14,"High",IF((10-Q114)+(10-R114)+IF(O114="Yes",3,0)+IF(S114="No",2,0)&gt;=8,"Medium","Low"))</f>
        <v>Medium</v>
      </c>
    </row>
    <row r="115" customFormat="false" ht="15" hidden="false" customHeight="false" outlineLevel="0" collapsed="false">
      <c r="A115" s="3" t="s">
        <v>290</v>
      </c>
      <c r="B115" s="3" t="s">
        <v>49</v>
      </c>
      <c r="C115" s="3" t="n">
        <v>34</v>
      </c>
      <c r="D115" s="3" t="s">
        <v>25</v>
      </c>
      <c r="E115" s="3" t="s">
        <v>36</v>
      </c>
      <c r="F115" s="3" t="s">
        <v>100</v>
      </c>
      <c r="G115" s="3" t="s">
        <v>28</v>
      </c>
      <c r="H115" s="3" t="s">
        <v>52</v>
      </c>
      <c r="I115" s="3" t="s">
        <v>97</v>
      </c>
      <c r="J115" s="4" t="n">
        <v>45153</v>
      </c>
      <c r="K115" s="3" t="n">
        <f aca="false">ROUND(($X$2-J115)/365,1)</f>
        <v>2.4</v>
      </c>
      <c r="L115" s="5" t="n">
        <v>119062.97</v>
      </c>
      <c r="M115" s="3" t="n">
        <v>4</v>
      </c>
      <c r="N115" s="3" t="n">
        <v>38</v>
      </c>
      <c r="O115" s="3" t="s">
        <v>33</v>
      </c>
      <c r="P115" s="3" t="s">
        <v>32</v>
      </c>
      <c r="Q115" s="3" t="n">
        <v>8</v>
      </c>
      <c r="R115" s="3" t="n">
        <v>4</v>
      </c>
      <c r="S115" s="3" t="s">
        <v>31</v>
      </c>
      <c r="T115" s="6" t="n">
        <v>14.12</v>
      </c>
      <c r="U115" s="3" t="s">
        <v>31</v>
      </c>
      <c r="V115" s="3" t="str">
        <f aca="false">IF((10-Q115)+(10-R115)+IF(O115="Yes",3,0)+IF(S115="No",2,0)&gt;=14,"High",IF((10-Q115)+(10-R115)+IF(O115="Yes",3,0)+IF(S115="No",2,0)&gt;=8,"Medium","Low"))</f>
        <v>Medium</v>
      </c>
    </row>
    <row r="116" customFormat="false" ht="15" hidden="false" customHeight="false" outlineLevel="0" collapsed="false">
      <c r="A116" s="3" t="s">
        <v>291</v>
      </c>
      <c r="B116" s="3" t="s">
        <v>292</v>
      </c>
      <c r="C116" s="3" t="n">
        <v>54</v>
      </c>
      <c r="D116" s="3" t="s">
        <v>25</v>
      </c>
      <c r="E116" s="3" t="s">
        <v>50</v>
      </c>
      <c r="F116" s="3" t="s">
        <v>51</v>
      </c>
      <c r="G116" s="3" t="s">
        <v>46</v>
      </c>
      <c r="H116" s="3" t="s">
        <v>29</v>
      </c>
      <c r="I116" s="3" t="s">
        <v>61</v>
      </c>
      <c r="J116" s="4" t="n">
        <v>45160</v>
      </c>
      <c r="K116" s="3" t="n">
        <f aca="false">ROUND(($X$2-J116)/365,1)</f>
        <v>2.4</v>
      </c>
      <c r="L116" s="5" t="n">
        <v>152356.97</v>
      </c>
      <c r="M116" s="3" t="n">
        <v>1</v>
      </c>
      <c r="N116" s="3" t="n">
        <v>9</v>
      </c>
      <c r="O116" s="3" t="s">
        <v>33</v>
      </c>
      <c r="P116" s="3" t="s">
        <v>67</v>
      </c>
      <c r="Q116" s="3" t="n">
        <v>8</v>
      </c>
      <c r="R116" s="3" t="n">
        <v>1</v>
      </c>
      <c r="S116" s="3" t="s">
        <v>33</v>
      </c>
      <c r="T116" s="6" t="n">
        <v>3.29</v>
      </c>
      <c r="U116" s="3" t="s">
        <v>33</v>
      </c>
      <c r="V116" s="3" t="str">
        <f aca="false">IF((10-Q116)+(10-R116)+IF(O116="Yes",3,0)+IF(S116="No",2,0)&gt;=14,"High",IF((10-Q116)+(10-R116)+IF(O116="Yes",3,0)+IF(S116="No",2,0)&gt;=8,"Medium","Low"))</f>
        <v>Medium</v>
      </c>
    </row>
    <row r="117" customFormat="false" ht="15" hidden="false" customHeight="false" outlineLevel="0" collapsed="false">
      <c r="A117" s="3" t="s">
        <v>293</v>
      </c>
      <c r="B117" s="3" t="s">
        <v>294</v>
      </c>
      <c r="C117" s="3" t="n">
        <v>42</v>
      </c>
      <c r="D117" s="3" t="s">
        <v>25</v>
      </c>
      <c r="E117" s="3" t="s">
        <v>26</v>
      </c>
      <c r="F117" s="3" t="s">
        <v>27</v>
      </c>
      <c r="G117" s="3" t="s">
        <v>46</v>
      </c>
      <c r="H117" s="3" t="s">
        <v>29</v>
      </c>
      <c r="I117" s="3" t="s">
        <v>81</v>
      </c>
      <c r="J117" s="4" t="n">
        <v>45161</v>
      </c>
      <c r="K117" s="3" t="n">
        <f aca="false">ROUND(($X$2-J117)/365,1)</f>
        <v>2.4</v>
      </c>
      <c r="L117" s="5" t="n">
        <v>154082.54</v>
      </c>
      <c r="M117" s="3" t="n">
        <v>4</v>
      </c>
      <c r="N117" s="3" t="n">
        <v>60</v>
      </c>
      <c r="O117" s="3" t="s">
        <v>31</v>
      </c>
      <c r="P117" s="3" t="s">
        <v>32</v>
      </c>
      <c r="Q117" s="3" t="n">
        <v>10</v>
      </c>
      <c r="R117" s="3" t="n">
        <v>1</v>
      </c>
      <c r="S117" s="3" t="s">
        <v>33</v>
      </c>
      <c r="T117" s="6" t="n">
        <v>14.51</v>
      </c>
      <c r="U117" s="3" t="s">
        <v>31</v>
      </c>
      <c r="V117" s="3" t="str">
        <f aca="false">IF((10-Q117)+(10-R117)+IF(O117="Yes",3,0)+IF(S117="No",2,0)&gt;=14,"High",IF((10-Q117)+(10-R117)+IF(O117="Yes",3,0)+IF(S117="No",2,0)&gt;=8,"Medium","Low"))</f>
        <v>High</v>
      </c>
    </row>
    <row r="118" customFormat="false" ht="15" hidden="false" customHeight="false" outlineLevel="0" collapsed="false">
      <c r="A118" s="3" t="s">
        <v>295</v>
      </c>
      <c r="B118" s="3" t="s">
        <v>296</v>
      </c>
      <c r="C118" s="3" t="n">
        <v>48</v>
      </c>
      <c r="D118" s="3" t="s">
        <v>43</v>
      </c>
      <c r="E118" s="3" t="s">
        <v>44</v>
      </c>
      <c r="F118" s="3" t="s">
        <v>59</v>
      </c>
      <c r="G118" s="3" t="s">
        <v>60</v>
      </c>
      <c r="H118" s="3" t="s">
        <v>38</v>
      </c>
      <c r="I118" s="3" t="s">
        <v>47</v>
      </c>
      <c r="J118" s="4" t="n">
        <v>45169</v>
      </c>
      <c r="K118" s="3" t="n">
        <f aca="false">ROUND(($X$2-J118)/365,1)</f>
        <v>2.3</v>
      </c>
      <c r="L118" s="5" t="n">
        <v>110825.08</v>
      </c>
      <c r="M118" s="3" t="n">
        <v>1</v>
      </c>
      <c r="N118" s="3" t="n">
        <v>0</v>
      </c>
      <c r="O118" s="3" t="s">
        <v>33</v>
      </c>
      <c r="P118" s="3" t="s">
        <v>32</v>
      </c>
      <c r="Q118" s="3" t="n">
        <v>7</v>
      </c>
      <c r="R118" s="3" t="n">
        <v>2</v>
      </c>
      <c r="S118" s="3" t="s">
        <v>31</v>
      </c>
      <c r="T118" s="6" t="n">
        <v>11.91</v>
      </c>
      <c r="U118" s="3" t="s">
        <v>31</v>
      </c>
      <c r="V118" s="3" t="str">
        <f aca="false">IF((10-Q118)+(10-R118)+IF(O118="Yes",3,0)+IF(S118="No",2,0)&gt;=14,"High",IF((10-Q118)+(10-R118)+IF(O118="Yes",3,0)+IF(S118="No",2,0)&gt;=8,"Medium","Low"))</f>
        <v>Medium</v>
      </c>
    </row>
    <row r="119" customFormat="false" ht="15" hidden="false" customHeight="false" outlineLevel="0" collapsed="false">
      <c r="A119" s="3" t="s">
        <v>297</v>
      </c>
      <c r="B119" s="3" t="s">
        <v>298</v>
      </c>
      <c r="C119" s="3" t="n">
        <v>57</v>
      </c>
      <c r="D119" s="3" t="s">
        <v>43</v>
      </c>
      <c r="E119" s="3" t="s">
        <v>26</v>
      </c>
      <c r="F119" s="3" t="s">
        <v>84</v>
      </c>
      <c r="G119" s="3" t="s">
        <v>46</v>
      </c>
      <c r="H119" s="3" t="s">
        <v>52</v>
      </c>
      <c r="I119" s="3" t="s">
        <v>66</v>
      </c>
      <c r="J119" s="4" t="n">
        <v>45187</v>
      </c>
      <c r="K119" s="3" t="n">
        <f aca="false">ROUND(($X$2-J119)/365,1)</f>
        <v>2.3</v>
      </c>
      <c r="L119" s="5" t="n">
        <v>134390.36</v>
      </c>
      <c r="M119" s="3" t="n">
        <v>4</v>
      </c>
      <c r="N119" s="3" t="n">
        <v>23</v>
      </c>
      <c r="O119" s="3" t="s">
        <v>31</v>
      </c>
      <c r="P119" s="3" t="s">
        <v>67</v>
      </c>
      <c r="Q119" s="3" t="n">
        <v>7</v>
      </c>
      <c r="R119" s="3" t="n">
        <v>7</v>
      </c>
      <c r="S119" s="3" t="s">
        <v>33</v>
      </c>
      <c r="T119" s="6" t="n">
        <v>11.73</v>
      </c>
      <c r="U119" s="3" t="s">
        <v>33</v>
      </c>
      <c r="V119" s="3" t="str">
        <f aca="false">IF((10-Q119)+(10-R119)+IF(O119="Yes",3,0)+IF(S119="No",2,0)&gt;=14,"High",IF((10-Q119)+(10-R119)+IF(O119="Yes",3,0)+IF(S119="No",2,0)&gt;=8,"Medium","Low"))</f>
        <v>Medium</v>
      </c>
    </row>
    <row r="120" customFormat="false" ht="15" hidden="false" customHeight="false" outlineLevel="0" collapsed="false">
      <c r="A120" s="3" t="s">
        <v>299</v>
      </c>
      <c r="B120" s="3" t="s">
        <v>300</v>
      </c>
      <c r="C120" s="3" t="n">
        <v>39</v>
      </c>
      <c r="D120" s="3" t="s">
        <v>25</v>
      </c>
      <c r="E120" s="3" t="s">
        <v>55</v>
      </c>
      <c r="F120" s="3" t="s">
        <v>107</v>
      </c>
      <c r="G120" s="3" t="s">
        <v>28</v>
      </c>
      <c r="H120" s="3" t="s">
        <v>52</v>
      </c>
      <c r="I120" s="3" t="s">
        <v>30</v>
      </c>
      <c r="J120" s="4" t="n">
        <v>45260</v>
      </c>
      <c r="K120" s="3" t="n">
        <f aca="false">ROUND(($X$2-J120)/365,1)</f>
        <v>2.1</v>
      </c>
      <c r="L120" s="5" t="n">
        <v>163591.72</v>
      </c>
      <c r="M120" s="3" t="n">
        <v>5</v>
      </c>
      <c r="N120" s="3" t="n">
        <v>45</v>
      </c>
      <c r="O120" s="3" t="s">
        <v>31</v>
      </c>
      <c r="P120" s="3" t="s">
        <v>67</v>
      </c>
      <c r="Q120" s="3" t="n">
        <v>10</v>
      </c>
      <c r="R120" s="3" t="n">
        <v>5</v>
      </c>
      <c r="S120" s="3" t="s">
        <v>33</v>
      </c>
      <c r="T120" s="6" t="n">
        <v>12.05</v>
      </c>
      <c r="U120" s="3" t="s">
        <v>33</v>
      </c>
      <c r="V120" s="3" t="str">
        <f aca="false">IF((10-Q120)+(10-R120)+IF(O120="Yes",3,0)+IF(S120="No",2,0)&gt;=14,"High",IF((10-Q120)+(10-R120)+IF(O120="Yes",3,0)+IF(S120="No",2,0)&gt;=8,"Medium","Low"))</f>
        <v>Medium</v>
      </c>
    </row>
    <row r="121" customFormat="false" ht="15" hidden="false" customHeight="false" outlineLevel="0" collapsed="false">
      <c r="A121" s="3" t="s">
        <v>301</v>
      </c>
      <c r="B121" s="3" t="s">
        <v>208</v>
      </c>
      <c r="C121" s="3" t="n">
        <v>40</v>
      </c>
      <c r="D121" s="3" t="s">
        <v>25</v>
      </c>
      <c r="E121" s="3" t="s">
        <v>73</v>
      </c>
      <c r="F121" s="3" t="s">
        <v>74</v>
      </c>
      <c r="G121" s="3" t="s">
        <v>60</v>
      </c>
      <c r="H121" s="3" t="s">
        <v>38</v>
      </c>
      <c r="I121" s="3" t="s">
        <v>116</v>
      </c>
      <c r="J121" s="4" t="n">
        <v>45260</v>
      </c>
      <c r="K121" s="3" t="n">
        <f aca="false">ROUND(($X$2-J121)/365,1)</f>
        <v>2.1</v>
      </c>
      <c r="L121" s="5" t="n">
        <v>69711.59</v>
      </c>
      <c r="M121" s="3" t="n">
        <v>5</v>
      </c>
      <c r="N121" s="3" t="n">
        <v>13</v>
      </c>
      <c r="O121" s="3" t="s">
        <v>31</v>
      </c>
      <c r="P121" s="3" t="s">
        <v>67</v>
      </c>
      <c r="Q121" s="3" t="n">
        <v>9</v>
      </c>
      <c r="R121" s="3" t="n">
        <v>6</v>
      </c>
      <c r="S121" s="3" t="s">
        <v>31</v>
      </c>
      <c r="T121" s="6" t="n">
        <v>11.08</v>
      </c>
      <c r="U121" s="3" t="s">
        <v>33</v>
      </c>
      <c r="V121" s="3" t="str">
        <f aca="false">IF((10-Q121)+(10-R121)+IF(O121="Yes",3,0)+IF(S121="No",2,0)&gt;=14,"High",IF((10-Q121)+(10-R121)+IF(O121="Yes",3,0)+IF(S121="No",2,0)&gt;=8,"Medium","Low"))</f>
        <v>Medium</v>
      </c>
    </row>
    <row r="122" customFormat="false" ht="15" hidden="false" customHeight="false" outlineLevel="0" collapsed="false">
      <c r="A122" s="3" t="s">
        <v>302</v>
      </c>
      <c r="B122" s="3" t="s">
        <v>303</v>
      </c>
      <c r="C122" s="3" t="n">
        <v>51</v>
      </c>
      <c r="D122" s="3" t="s">
        <v>43</v>
      </c>
      <c r="E122" s="3" t="s">
        <v>36</v>
      </c>
      <c r="F122" s="3" t="s">
        <v>100</v>
      </c>
      <c r="G122" s="3" t="s">
        <v>46</v>
      </c>
      <c r="H122" s="3" t="s">
        <v>52</v>
      </c>
      <c r="I122" s="3" t="s">
        <v>30</v>
      </c>
      <c r="J122" s="4" t="n">
        <v>45269</v>
      </c>
      <c r="K122" s="3" t="n">
        <f aca="false">ROUND(($X$2-J122)/365,1)</f>
        <v>2.1</v>
      </c>
      <c r="L122" s="5" t="n">
        <v>160004.96</v>
      </c>
      <c r="M122" s="3" t="n">
        <v>3</v>
      </c>
      <c r="N122" s="3" t="n">
        <v>12</v>
      </c>
      <c r="O122" s="3" t="s">
        <v>33</v>
      </c>
      <c r="P122" s="3" t="s">
        <v>40</v>
      </c>
      <c r="Q122" s="3" t="n">
        <v>9</v>
      </c>
      <c r="R122" s="3" t="n">
        <v>4</v>
      </c>
      <c r="S122" s="3" t="s">
        <v>31</v>
      </c>
      <c r="T122" s="6" t="n">
        <v>8.62</v>
      </c>
      <c r="U122" s="3" t="s">
        <v>33</v>
      </c>
      <c r="V122" s="3" t="str">
        <f aca="false">IF((10-Q122)+(10-R122)+IF(O122="Yes",3,0)+IF(S122="No",2,0)&gt;=14,"High",IF((10-Q122)+(10-R122)+IF(O122="Yes",3,0)+IF(S122="No",2,0)&gt;=8,"Medium","Low"))</f>
        <v>Low</v>
      </c>
    </row>
    <row r="123" customFormat="false" ht="15" hidden="false" customHeight="false" outlineLevel="0" collapsed="false">
      <c r="A123" s="3" t="s">
        <v>304</v>
      </c>
      <c r="B123" s="3" t="s">
        <v>305</v>
      </c>
      <c r="C123" s="3" t="n">
        <v>29</v>
      </c>
      <c r="D123" s="3" t="s">
        <v>43</v>
      </c>
      <c r="E123" s="3" t="s">
        <v>36</v>
      </c>
      <c r="F123" s="3" t="s">
        <v>37</v>
      </c>
      <c r="G123" s="3" t="s">
        <v>77</v>
      </c>
      <c r="H123" s="3" t="s">
        <v>29</v>
      </c>
      <c r="I123" s="3" t="s">
        <v>61</v>
      </c>
      <c r="J123" s="4" t="n">
        <v>45270</v>
      </c>
      <c r="K123" s="3" t="n">
        <f aca="false">ROUND(($X$2-J123)/365,1)</f>
        <v>2.1</v>
      </c>
      <c r="L123" s="5" t="n">
        <v>164290.32</v>
      </c>
      <c r="M123" s="3" t="n">
        <v>2</v>
      </c>
      <c r="N123" s="3" t="n">
        <v>0</v>
      </c>
      <c r="O123" s="3" t="s">
        <v>31</v>
      </c>
      <c r="P123" s="3" t="s">
        <v>40</v>
      </c>
      <c r="Q123" s="3" t="n">
        <v>5</v>
      </c>
      <c r="R123" s="3" t="n">
        <v>5</v>
      </c>
      <c r="S123" s="3" t="s">
        <v>33</v>
      </c>
      <c r="T123" s="6" t="n">
        <v>9.02</v>
      </c>
      <c r="U123" s="3" t="s">
        <v>33</v>
      </c>
      <c r="V123" s="3" t="str">
        <f aca="false">IF((10-Q123)+(10-R123)+IF(O123="Yes",3,0)+IF(S123="No",2,0)&gt;=14,"High",IF((10-Q123)+(10-R123)+IF(O123="Yes",3,0)+IF(S123="No",2,0)&gt;=8,"Medium","Low"))</f>
        <v>High</v>
      </c>
    </row>
    <row r="124" customFormat="false" ht="15" hidden="false" customHeight="false" outlineLevel="0" collapsed="false">
      <c r="A124" s="3" t="s">
        <v>306</v>
      </c>
      <c r="B124" s="3" t="s">
        <v>307</v>
      </c>
      <c r="C124" s="3" t="n">
        <v>45</v>
      </c>
      <c r="D124" s="3" t="s">
        <v>43</v>
      </c>
      <c r="E124" s="3" t="s">
        <v>44</v>
      </c>
      <c r="F124" s="3" t="s">
        <v>45</v>
      </c>
      <c r="G124" s="3" t="s">
        <v>60</v>
      </c>
      <c r="H124" s="3" t="s">
        <v>29</v>
      </c>
      <c r="I124" s="3" t="s">
        <v>47</v>
      </c>
      <c r="J124" s="4" t="n">
        <v>45289</v>
      </c>
      <c r="K124" s="3" t="n">
        <f aca="false">ROUND(($X$2-J124)/365,1)</f>
        <v>2</v>
      </c>
      <c r="L124" s="5" t="n">
        <v>120380.76</v>
      </c>
      <c r="M124" s="3" t="n">
        <v>2</v>
      </c>
      <c r="N124" s="3" t="n">
        <v>49</v>
      </c>
      <c r="O124" s="3" t="s">
        <v>31</v>
      </c>
      <c r="P124" s="3" t="s">
        <v>40</v>
      </c>
      <c r="Q124" s="3" t="n">
        <v>3</v>
      </c>
      <c r="R124" s="3" t="n">
        <v>1</v>
      </c>
      <c r="S124" s="3" t="s">
        <v>33</v>
      </c>
      <c r="T124" s="6" t="n">
        <v>8.91</v>
      </c>
      <c r="U124" s="3" t="s">
        <v>31</v>
      </c>
      <c r="V124" s="3" t="str">
        <f aca="false">IF((10-Q124)+(10-R124)+IF(O124="Yes",3,0)+IF(S124="No",2,0)&gt;=14,"High",IF((10-Q124)+(10-R124)+IF(O124="Yes",3,0)+IF(S124="No",2,0)&gt;=8,"Medium","Low"))</f>
        <v>High</v>
      </c>
    </row>
    <row r="125" customFormat="false" ht="15" hidden="false" customHeight="false" outlineLevel="0" collapsed="false">
      <c r="A125" s="3" t="s">
        <v>308</v>
      </c>
      <c r="B125" s="3" t="s">
        <v>232</v>
      </c>
      <c r="C125" s="3" t="n">
        <v>52</v>
      </c>
      <c r="D125" s="3" t="s">
        <v>43</v>
      </c>
      <c r="E125" s="3" t="s">
        <v>55</v>
      </c>
      <c r="F125" s="3" t="s">
        <v>56</v>
      </c>
      <c r="G125" s="3" t="s">
        <v>28</v>
      </c>
      <c r="H125" s="3" t="s">
        <v>52</v>
      </c>
      <c r="I125" s="3" t="s">
        <v>47</v>
      </c>
      <c r="J125" s="4" t="n">
        <v>45316</v>
      </c>
      <c r="K125" s="3" t="n">
        <f aca="false">ROUND(($X$2-J125)/365,1)</f>
        <v>1.9</v>
      </c>
      <c r="L125" s="5" t="n">
        <v>110911.28</v>
      </c>
      <c r="M125" s="3" t="n">
        <v>2</v>
      </c>
      <c r="N125" s="3" t="n">
        <v>6</v>
      </c>
      <c r="O125" s="3" t="s">
        <v>31</v>
      </c>
      <c r="P125" s="3" t="s">
        <v>40</v>
      </c>
      <c r="Q125" s="3" t="n">
        <v>8</v>
      </c>
      <c r="R125" s="3" t="n">
        <v>7</v>
      </c>
      <c r="S125" s="3" t="s">
        <v>33</v>
      </c>
      <c r="T125" s="6" t="n">
        <v>3.73</v>
      </c>
      <c r="U125" s="3" t="s">
        <v>31</v>
      </c>
      <c r="V125" s="3" t="str">
        <f aca="false">IF((10-Q125)+(10-R125)+IF(O125="Yes",3,0)+IF(S125="No",2,0)&gt;=14,"High",IF((10-Q125)+(10-R125)+IF(O125="Yes",3,0)+IF(S125="No",2,0)&gt;=8,"Medium","Low"))</f>
        <v>Medium</v>
      </c>
    </row>
    <row r="126" customFormat="false" ht="15" hidden="false" customHeight="false" outlineLevel="0" collapsed="false">
      <c r="A126" s="3" t="s">
        <v>309</v>
      </c>
      <c r="B126" s="3" t="s">
        <v>310</v>
      </c>
      <c r="C126" s="3" t="n">
        <v>37</v>
      </c>
      <c r="D126" s="3" t="s">
        <v>25</v>
      </c>
      <c r="E126" s="3" t="s">
        <v>73</v>
      </c>
      <c r="F126" s="3" t="s">
        <v>147</v>
      </c>
      <c r="G126" s="3" t="s">
        <v>77</v>
      </c>
      <c r="H126" s="3" t="s">
        <v>29</v>
      </c>
      <c r="I126" s="3" t="s">
        <v>116</v>
      </c>
      <c r="J126" s="4" t="n">
        <v>45323</v>
      </c>
      <c r="K126" s="3" t="n">
        <f aca="false">ROUND(($X$2-J126)/365,1)</f>
        <v>1.9</v>
      </c>
      <c r="L126" s="5" t="n">
        <v>60582.48</v>
      </c>
      <c r="M126" s="3" t="n">
        <v>4</v>
      </c>
      <c r="N126" s="3" t="n">
        <v>36</v>
      </c>
      <c r="O126" s="3" t="s">
        <v>33</v>
      </c>
      <c r="P126" s="3" t="s">
        <v>67</v>
      </c>
      <c r="Q126" s="3" t="n">
        <v>6</v>
      </c>
      <c r="R126" s="3" t="n">
        <v>9</v>
      </c>
      <c r="S126" s="3" t="s">
        <v>31</v>
      </c>
      <c r="T126" s="6" t="n">
        <v>5.41</v>
      </c>
      <c r="U126" s="3" t="s">
        <v>33</v>
      </c>
      <c r="V126" s="3" t="str">
        <f aca="false">IF((10-Q126)+(10-R126)+IF(O126="Yes",3,0)+IF(S126="No",2,0)&gt;=14,"High",IF((10-Q126)+(10-R126)+IF(O126="Yes",3,0)+IF(S126="No",2,0)&gt;=8,"Medium","Low"))</f>
        <v>Low</v>
      </c>
    </row>
    <row r="127" customFormat="false" ht="15" hidden="false" customHeight="false" outlineLevel="0" collapsed="false">
      <c r="A127" s="3" t="s">
        <v>311</v>
      </c>
      <c r="B127" s="3" t="s">
        <v>312</v>
      </c>
      <c r="C127" s="3" t="n">
        <v>37</v>
      </c>
      <c r="D127" s="3" t="s">
        <v>43</v>
      </c>
      <c r="E127" s="3" t="s">
        <v>64</v>
      </c>
      <c r="F127" s="3" t="s">
        <v>65</v>
      </c>
      <c r="G127" s="3" t="s">
        <v>60</v>
      </c>
      <c r="H127" s="3" t="s">
        <v>52</v>
      </c>
      <c r="I127" s="3" t="s">
        <v>47</v>
      </c>
      <c r="J127" s="4" t="n">
        <v>45336</v>
      </c>
      <c r="K127" s="3" t="n">
        <f aca="false">ROUND(($X$2-J127)/365,1)</f>
        <v>1.9</v>
      </c>
      <c r="L127" s="5" t="n">
        <v>38915.95</v>
      </c>
      <c r="M127" s="3" t="n">
        <v>4</v>
      </c>
      <c r="N127" s="3" t="n">
        <v>39</v>
      </c>
      <c r="O127" s="3" t="s">
        <v>31</v>
      </c>
      <c r="P127" s="3" t="s">
        <v>67</v>
      </c>
      <c r="Q127" s="3" t="n">
        <v>9</v>
      </c>
      <c r="R127" s="3" t="n">
        <v>3</v>
      </c>
      <c r="S127" s="3" t="s">
        <v>31</v>
      </c>
      <c r="T127" s="6" t="n">
        <v>1.72</v>
      </c>
      <c r="U127" s="3" t="s">
        <v>33</v>
      </c>
      <c r="V127" s="3" t="str">
        <f aca="false">IF((10-Q127)+(10-R127)+IF(O127="Yes",3,0)+IF(S127="No",2,0)&gt;=14,"High",IF((10-Q127)+(10-R127)+IF(O127="Yes",3,0)+IF(S127="No",2,0)&gt;=8,"Medium","Low"))</f>
        <v>Medium</v>
      </c>
    </row>
    <row r="128" customFormat="false" ht="15" hidden="false" customHeight="false" outlineLevel="0" collapsed="false">
      <c r="A128" s="3" t="s">
        <v>313</v>
      </c>
      <c r="B128" s="3" t="s">
        <v>314</v>
      </c>
      <c r="C128" s="3" t="n">
        <v>46</v>
      </c>
      <c r="D128" s="3" t="s">
        <v>25</v>
      </c>
      <c r="E128" s="3" t="s">
        <v>64</v>
      </c>
      <c r="F128" s="3" t="s">
        <v>115</v>
      </c>
      <c r="G128" s="3" t="s">
        <v>77</v>
      </c>
      <c r="H128" s="3" t="s">
        <v>52</v>
      </c>
      <c r="I128" s="3" t="s">
        <v>47</v>
      </c>
      <c r="J128" s="4" t="n">
        <v>45340</v>
      </c>
      <c r="K128" s="3" t="n">
        <f aca="false">ROUND(($X$2-J128)/365,1)</f>
        <v>1.9</v>
      </c>
      <c r="L128" s="5" t="n">
        <v>145737.95</v>
      </c>
      <c r="M128" s="3" t="n">
        <v>1</v>
      </c>
      <c r="N128" s="3" t="n">
        <v>12</v>
      </c>
      <c r="O128" s="3" t="s">
        <v>33</v>
      </c>
      <c r="P128" s="3" t="s">
        <v>32</v>
      </c>
      <c r="Q128" s="3" t="n">
        <v>7</v>
      </c>
      <c r="R128" s="3" t="n">
        <v>9</v>
      </c>
      <c r="S128" s="3" t="s">
        <v>33</v>
      </c>
      <c r="T128" s="6" t="n">
        <v>7.36</v>
      </c>
      <c r="U128" s="3" t="s">
        <v>33</v>
      </c>
      <c r="V128" s="3" t="str">
        <f aca="false">IF((10-Q128)+(10-R128)+IF(O128="Yes",3,0)+IF(S128="No",2,0)&gt;=14,"High",IF((10-Q128)+(10-R128)+IF(O128="Yes",3,0)+IF(S128="No",2,0)&gt;=8,"Medium","Low"))</f>
        <v>Low</v>
      </c>
    </row>
    <row r="129" customFormat="false" ht="15" hidden="false" customHeight="false" outlineLevel="0" collapsed="false">
      <c r="A129" s="3" t="s">
        <v>315</v>
      </c>
      <c r="B129" s="3" t="s">
        <v>316</v>
      </c>
      <c r="C129" s="3" t="n">
        <v>25</v>
      </c>
      <c r="D129" s="3" t="s">
        <v>43</v>
      </c>
      <c r="E129" s="3" t="s">
        <v>73</v>
      </c>
      <c r="F129" s="3" t="s">
        <v>92</v>
      </c>
      <c r="G129" s="3" t="s">
        <v>46</v>
      </c>
      <c r="H129" s="3" t="s">
        <v>52</v>
      </c>
      <c r="I129" s="3" t="s">
        <v>116</v>
      </c>
      <c r="J129" s="4" t="n">
        <v>45346</v>
      </c>
      <c r="K129" s="3" t="n">
        <f aca="false">ROUND(($X$2-J129)/365,1)</f>
        <v>1.9</v>
      </c>
      <c r="L129" s="5" t="n">
        <v>86203.81</v>
      </c>
      <c r="M129" s="3" t="n">
        <v>3</v>
      </c>
      <c r="N129" s="3" t="n">
        <v>48</v>
      </c>
      <c r="O129" s="3" t="s">
        <v>33</v>
      </c>
      <c r="P129" s="3" t="s">
        <v>67</v>
      </c>
      <c r="Q129" s="3" t="n">
        <v>4</v>
      </c>
      <c r="R129" s="3" t="n">
        <v>1</v>
      </c>
      <c r="S129" s="3" t="s">
        <v>31</v>
      </c>
      <c r="T129" s="6" t="n">
        <v>2.11</v>
      </c>
      <c r="U129" s="3" t="s">
        <v>33</v>
      </c>
      <c r="V129" s="3" t="str">
        <f aca="false">IF((10-Q129)+(10-R129)+IF(O129="Yes",3,0)+IF(S129="No",2,0)&gt;=14,"High",IF((10-Q129)+(10-R129)+IF(O129="Yes",3,0)+IF(S129="No",2,0)&gt;=8,"Medium","Low"))</f>
        <v>High</v>
      </c>
    </row>
    <row r="130" customFormat="false" ht="15" hidden="false" customHeight="false" outlineLevel="0" collapsed="false">
      <c r="A130" s="3" t="s">
        <v>317</v>
      </c>
      <c r="B130" s="3" t="s">
        <v>318</v>
      </c>
      <c r="C130" s="3" t="n">
        <v>30</v>
      </c>
      <c r="D130" s="3" t="s">
        <v>25</v>
      </c>
      <c r="E130" s="3" t="s">
        <v>55</v>
      </c>
      <c r="F130" s="3" t="s">
        <v>56</v>
      </c>
      <c r="G130" s="3" t="s">
        <v>60</v>
      </c>
      <c r="H130" s="3" t="s">
        <v>38</v>
      </c>
      <c r="I130" s="3" t="s">
        <v>66</v>
      </c>
      <c r="J130" s="4" t="n">
        <v>45365</v>
      </c>
      <c r="K130" s="3" t="n">
        <f aca="false">ROUND(($X$2-J130)/365,1)</f>
        <v>1.8</v>
      </c>
      <c r="L130" s="5" t="n">
        <v>111292.91</v>
      </c>
      <c r="M130" s="3" t="n">
        <v>2</v>
      </c>
      <c r="N130" s="3" t="n">
        <v>38</v>
      </c>
      <c r="O130" s="3" t="s">
        <v>31</v>
      </c>
      <c r="P130" s="3" t="s">
        <v>40</v>
      </c>
      <c r="Q130" s="3" t="n">
        <v>6</v>
      </c>
      <c r="R130" s="3" t="n">
        <v>4</v>
      </c>
      <c r="S130" s="3" t="s">
        <v>31</v>
      </c>
      <c r="T130" s="6" t="n">
        <v>10.64</v>
      </c>
      <c r="U130" s="3" t="s">
        <v>33</v>
      </c>
      <c r="V130" s="3" t="str">
        <f aca="false">IF((10-Q130)+(10-R130)+IF(O130="Yes",3,0)+IF(S130="No",2,0)&gt;=14,"High",IF((10-Q130)+(10-R130)+IF(O130="Yes",3,0)+IF(S130="No",2,0)&gt;=8,"Medium","Low"))</f>
        <v>Medium</v>
      </c>
    </row>
    <row r="131" customFormat="false" ht="15" hidden="false" customHeight="false" outlineLevel="0" collapsed="false">
      <c r="A131" s="3" t="s">
        <v>319</v>
      </c>
      <c r="B131" s="3" t="s">
        <v>320</v>
      </c>
      <c r="C131" s="3" t="n">
        <v>36</v>
      </c>
      <c r="D131" s="3" t="s">
        <v>25</v>
      </c>
      <c r="E131" s="3" t="s">
        <v>64</v>
      </c>
      <c r="F131" s="3" t="s">
        <v>115</v>
      </c>
      <c r="G131" s="3" t="s">
        <v>60</v>
      </c>
      <c r="H131" s="3" t="s">
        <v>29</v>
      </c>
      <c r="I131" s="3" t="s">
        <v>47</v>
      </c>
      <c r="J131" s="4" t="n">
        <v>45376</v>
      </c>
      <c r="K131" s="3" t="n">
        <f aca="false">ROUND(($X$2-J131)/365,1)</f>
        <v>1.8</v>
      </c>
      <c r="L131" s="5" t="n">
        <v>137042.79</v>
      </c>
      <c r="M131" s="3" t="n">
        <v>5</v>
      </c>
      <c r="N131" s="3" t="n">
        <v>13</v>
      </c>
      <c r="O131" s="3" t="s">
        <v>31</v>
      </c>
      <c r="P131" s="3" t="s">
        <v>67</v>
      </c>
      <c r="Q131" s="3" t="n">
        <v>8</v>
      </c>
      <c r="R131" s="3" t="n">
        <v>2</v>
      </c>
      <c r="S131" s="3" t="s">
        <v>31</v>
      </c>
      <c r="T131" s="6" t="n">
        <v>10.67</v>
      </c>
      <c r="U131" s="3" t="s">
        <v>31</v>
      </c>
      <c r="V131" s="3" t="str">
        <f aca="false">IF((10-Q131)+(10-R131)+IF(O131="Yes",3,0)+IF(S131="No",2,0)&gt;=14,"High",IF((10-Q131)+(10-R131)+IF(O131="Yes",3,0)+IF(S131="No",2,0)&gt;=8,"Medium","Low"))</f>
        <v>Medium</v>
      </c>
    </row>
    <row r="132" customFormat="false" ht="15" hidden="false" customHeight="false" outlineLevel="0" collapsed="false">
      <c r="A132" s="3" t="s">
        <v>321</v>
      </c>
      <c r="B132" s="3" t="s">
        <v>322</v>
      </c>
      <c r="C132" s="3" t="n">
        <v>50</v>
      </c>
      <c r="D132" s="3" t="s">
        <v>25</v>
      </c>
      <c r="E132" s="3" t="s">
        <v>55</v>
      </c>
      <c r="F132" s="3" t="s">
        <v>56</v>
      </c>
      <c r="G132" s="3" t="s">
        <v>28</v>
      </c>
      <c r="H132" s="3" t="s">
        <v>52</v>
      </c>
      <c r="I132" s="3" t="s">
        <v>66</v>
      </c>
      <c r="J132" s="4" t="n">
        <v>45400</v>
      </c>
      <c r="K132" s="3" t="n">
        <f aca="false">ROUND(($X$2-J132)/365,1)</f>
        <v>1.7</v>
      </c>
      <c r="L132" s="5" t="n">
        <v>92235.06</v>
      </c>
      <c r="M132" s="3" t="n">
        <v>1</v>
      </c>
      <c r="N132" s="3" t="n">
        <v>40</v>
      </c>
      <c r="O132" s="3" t="s">
        <v>31</v>
      </c>
      <c r="P132" s="3" t="s">
        <v>32</v>
      </c>
      <c r="Q132" s="3" t="n">
        <v>10</v>
      </c>
      <c r="R132" s="3" t="n">
        <v>4</v>
      </c>
      <c r="S132" s="3" t="s">
        <v>33</v>
      </c>
      <c r="T132" s="6" t="n">
        <v>10.67</v>
      </c>
      <c r="U132" s="3" t="s">
        <v>31</v>
      </c>
      <c r="V132" s="3" t="str">
        <f aca="false">IF((10-Q132)+(10-R132)+IF(O132="Yes",3,0)+IF(S132="No",2,0)&gt;=14,"High",IF((10-Q132)+(10-R132)+IF(O132="Yes",3,0)+IF(S132="No",2,0)&gt;=8,"Medium","Low"))</f>
        <v>Medium</v>
      </c>
    </row>
    <row r="133" customFormat="false" ht="15" hidden="false" customHeight="false" outlineLevel="0" collapsed="false">
      <c r="A133" s="3" t="s">
        <v>323</v>
      </c>
      <c r="B133" s="3" t="s">
        <v>96</v>
      </c>
      <c r="C133" s="3" t="n">
        <v>37</v>
      </c>
      <c r="D133" s="3" t="s">
        <v>43</v>
      </c>
      <c r="E133" s="3" t="s">
        <v>44</v>
      </c>
      <c r="F133" s="3" t="s">
        <v>70</v>
      </c>
      <c r="G133" s="3" t="s">
        <v>60</v>
      </c>
      <c r="H133" s="3" t="s">
        <v>29</v>
      </c>
      <c r="I133" s="3" t="s">
        <v>47</v>
      </c>
      <c r="J133" s="4" t="n">
        <v>45405</v>
      </c>
      <c r="K133" s="3" t="n">
        <f aca="false">ROUND(($X$2-J133)/365,1)</f>
        <v>1.7</v>
      </c>
      <c r="L133" s="5" t="n">
        <v>91730.9</v>
      </c>
      <c r="M133" s="3" t="n">
        <v>2</v>
      </c>
      <c r="N133" s="3" t="n">
        <v>22</v>
      </c>
      <c r="O133" s="3" t="s">
        <v>31</v>
      </c>
      <c r="P133" s="3" t="s">
        <v>40</v>
      </c>
      <c r="Q133" s="3" t="n">
        <v>6</v>
      </c>
      <c r="R133" s="3" t="n">
        <v>8</v>
      </c>
      <c r="S133" s="3" t="s">
        <v>33</v>
      </c>
      <c r="T133" s="6" t="n">
        <v>8.94</v>
      </c>
      <c r="U133" s="3" t="s">
        <v>31</v>
      </c>
      <c r="V133" s="3" t="str">
        <f aca="false">IF((10-Q133)+(10-R133)+IF(O133="Yes",3,0)+IF(S133="No",2,0)&gt;=14,"High",IF((10-Q133)+(10-R133)+IF(O133="Yes",3,0)+IF(S133="No",2,0)&gt;=8,"Medium","Low"))</f>
        <v>Medium</v>
      </c>
    </row>
    <row r="134" customFormat="false" ht="15" hidden="false" customHeight="false" outlineLevel="0" collapsed="false">
      <c r="A134" s="3" t="s">
        <v>324</v>
      </c>
      <c r="B134" s="3" t="s">
        <v>325</v>
      </c>
      <c r="C134" s="3" t="n">
        <v>53</v>
      </c>
      <c r="D134" s="3" t="s">
        <v>25</v>
      </c>
      <c r="E134" s="3" t="s">
        <v>55</v>
      </c>
      <c r="F134" s="3" t="s">
        <v>107</v>
      </c>
      <c r="G134" s="3" t="s">
        <v>77</v>
      </c>
      <c r="H134" s="3" t="s">
        <v>52</v>
      </c>
      <c r="I134" s="3" t="s">
        <v>30</v>
      </c>
      <c r="J134" s="4" t="n">
        <v>45431</v>
      </c>
      <c r="K134" s="3" t="n">
        <f aca="false">ROUND(($X$2-J134)/365,1)</f>
        <v>1.6</v>
      </c>
      <c r="L134" s="5" t="n">
        <v>157742.83</v>
      </c>
      <c r="M134" s="3" t="n">
        <v>4</v>
      </c>
      <c r="N134" s="3" t="n">
        <v>6</v>
      </c>
      <c r="O134" s="3" t="s">
        <v>33</v>
      </c>
      <c r="P134" s="3" t="s">
        <v>67</v>
      </c>
      <c r="Q134" s="3" t="n">
        <v>6</v>
      </c>
      <c r="R134" s="3" t="n">
        <v>8</v>
      </c>
      <c r="S134" s="3" t="s">
        <v>31</v>
      </c>
      <c r="T134" s="6" t="n">
        <v>13.89</v>
      </c>
      <c r="U134" s="3" t="s">
        <v>33</v>
      </c>
      <c r="V134" s="3" t="str">
        <f aca="false">IF((10-Q134)+(10-R134)+IF(O134="Yes",3,0)+IF(S134="No",2,0)&gt;=14,"High",IF((10-Q134)+(10-R134)+IF(O134="Yes",3,0)+IF(S134="No",2,0)&gt;=8,"Medium","Low"))</f>
        <v>Low</v>
      </c>
    </row>
    <row r="135" customFormat="false" ht="15" hidden="false" customHeight="false" outlineLevel="0" collapsed="false">
      <c r="A135" s="3" t="s">
        <v>326</v>
      </c>
      <c r="B135" s="3" t="s">
        <v>327</v>
      </c>
      <c r="C135" s="3" t="n">
        <v>41</v>
      </c>
      <c r="D135" s="3" t="s">
        <v>43</v>
      </c>
      <c r="E135" s="3" t="s">
        <v>55</v>
      </c>
      <c r="F135" s="3" t="s">
        <v>107</v>
      </c>
      <c r="G135" s="3" t="s">
        <v>28</v>
      </c>
      <c r="H135" s="3" t="s">
        <v>29</v>
      </c>
      <c r="I135" s="3" t="s">
        <v>61</v>
      </c>
      <c r="J135" s="4" t="n">
        <v>45464</v>
      </c>
      <c r="K135" s="3" t="n">
        <f aca="false">ROUND(($X$2-J135)/365,1)</f>
        <v>1.5</v>
      </c>
      <c r="L135" s="5" t="n">
        <v>106252.51</v>
      </c>
      <c r="M135" s="3" t="n">
        <v>4</v>
      </c>
      <c r="N135" s="3" t="n">
        <v>49</v>
      </c>
      <c r="O135" s="3" t="s">
        <v>33</v>
      </c>
      <c r="P135" s="3" t="s">
        <v>67</v>
      </c>
      <c r="Q135" s="3" t="n">
        <v>1</v>
      </c>
      <c r="R135" s="3" t="n">
        <v>2</v>
      </c>
      <c r="S135" s="3" t="s">
        <v>33</v>
      </c>
      <c r="T135" s="6" t="n">
        <v>11.64</v>
      </c>
      <c r="U135" s="3" t="s">
        <v>33</v>
      </c>
      <c r="V135" s="3" t="str">
        <f aca="false">IF((10-Q135)+(10-R135)+IF(O135="Yes",3,0)+IF(S135="No",2,0)&gt;=14,"High",IF((10-Q135)+(10-R135)+IF(O135="Yes",3,0)+IF(S135="No",2,0)&gt;=8,"Medium","Low"))</f>
        <v>High</v>
      </c>
    </row>
    <row r="136" customFormat="false" ht="15" hidden="false" customHeight="false" outlineLevel="0" collapsed="false">
      <c r="A136" s="3" t="s">
        <v>328</v>
      </c>
      <c r="B136" s="3" t="s">
        <v>329</v>
      </c>
      <c r="C136" s="3" t="n">
        <v>34</v>
      </c>
      <c r="D136" s="3" t="s">
        <v>43</v>
      </c>
      <c r="E136" s="3" t="s">
        <v>73</v>
      </c>
      <c r="F136" s="3" t="s">
        <v>147</v>
      </c>
      <c r="G136" s="3" t="s">
        <v>60</v>
      </c>
      <c r="H136" s="3" t="s">
        <v>29</v>
      </c>
      <c r="I136" s="3" t="s">
        <v>81</v>
      </c>
      <c r="J136" s="4" t="n">
        <v>45503</v>
      </c>
      <c r="K136" s="3" t="n">
        <f aca="false">ROUND(($X$2-J136)/365,1)</f>
        <v>1.4</v>
      </c>
      <c r="L136" s="5" t="n">
        <v>143008.92</v>
      </c>
      <c r="M136" s="3" t="n">
        <v>2</v>
      </c>
      <c r="N136" s="3" t="n">
        <v>3</v>
      </c>
      <c r="O136" s="3" t="s">
        <v>33</v>
      </c>
      <c r="P136" s="3" t="s">
        <v>40</v>
      </c>
      <c r="Q136" s="3" t="n">
        <v>6</v>
      </c>
      <c r="R136" s="3" t="n">
        <v>6</v>
      </c>
      <c r="S136" s="3" t="s">
        <v>33</v>
      </c>
      <c r="T136" s="6" t="n">
        <v>7.7</v>
      </c>
      <c r="U136" s="3" t="s">
        <v>31</v>
      </c>
      <c r="V136" s="3" t="str">
        <f aca="false">IF((10-Q136)+(10-R136)+IF(O136="Yes",3,0)+IF(S136="No",2,0)&gt;=14,"High",IF((10-Q136)+(10-R136)+IF(O136="Yes",3,0)+IF(S136="No",2,0)&gt;=8,"Medium","Low"))</f>
        <v>Medium</v>
      </c>
    </row>
    <row r="137" customFormat="false" ht="15" hidden="false" customHeight="false" outlineLevel="0" collapsed="false">
      <c r="A137" s="3" t="s">
        <v>330</v>
      </c>
      <c r="B137" s="3" t="s">
        <v>114</v>
      </c>
      <c r="C137" s="3" t="n">
        <v>56</v>
      </c>
      <c r="D137" s="3" t="s">
        <v>43</v>
      </c>
      <c r="E137" s="3" t="s">
        <v>55</v>
      </c>
      <c r="F137" s="3" t="s">
        <v>121</v>
      </c>
      <c r="G137" s="3" t="s">
        <v>28</v>
      </c>
      <c r="H137" s="3" t="s">
        <v>52</v>
      </c>
      <c r="I137" s="3" t="s">
        <v>97</v>
      </c>
      <c r="J137" s="4" t="n">
        <v>45526</v>
      </c>
      <c r="K137" s="3" t="n">
        <f aca="false">ROUND(($X$2-J137)/365,1)</f>
        <v>1.4</v>
      </c>
      <c r="L137" s="5" t="n">
        <v>141933.61</v>
      </c>
      <c r="M137" s="3" t="n">
        <v>4</v>
      </c>
      <c r="N137" s="3" t="n">
        <v>6</v>
      </c>
      <c r="O137" s="3" t="s">
        <v>33</v>
      </c>
      <c r="P137" s="3" t="s">
        <v>32</v>
      </c>
      <c r="Q137" s="3" t="n">
        <v>9</v>
      </c>
      <c r="R137" s="3" t="n">
        <v>5</v>
      </c>
      <c r="S137" s="3" t="s">
        <v>31</v>
      </c>
      <c r="T137" s="6" t="n">
        <v>14.43</v>
      </c>
      <c r="U137" s="3" t="s">
        <v>33</v>
      </c>
      <c r="V137" s="3" t="str">
        <f aca="false">IF((10-Q137)+(10-R137)+IF(O137="Yes",3,0)+IF(S137="No",2,0)&gt;=14,"High",IF((10-Q137)+(10-R137)+IF(O137="Yes",3,0)+IF(S137="No",2,0)&gt;=8,"Medium","Low"))</f>
        <v>Low</v>
      </c>
    </row>
    <row r="138" customFormat="false" ht="15" hidden="false" customHeight="false" outlineLevel="0" collapsed="false">
      <c r="A138" s="3" t="s">
        <v>331</v>
      </c>
      <c r="B138" s="3" t="s">
        <v>332</v>
      </c>
      <c r="C138" s="3" t="n">
        <v>36</v>
      </c>
      <c r="D138" s="3" t="s">
        <v>25</v>
      </c>
      <c r="E138" s="3" t="s">
        <v>26</v>
      </c>
      <c r="F138" s="3" t="s">
        <v>110</v>
      </c>
      <c r="G138" s="3" t="s">
        <v>60</v>
      </c>
      <c r="H138" s="3" t="s">
        <v>52</v>
      </c>
      <c r="I138" s="3" t="s">
        <v>61</v>
      </c>
      <c r="J138" s="4" t="n">
        <v>45574</v>
      </c>
      <c r="K138" s="3" t="n">
        <f aca="false">ROUND(($X$2-J138)/365,1)</f>
        <v>1.2</v>
      </c>
      <c r="L138" s="5" t="n">
        <v>139607.54</v>
      </c>
      <c r="M138" s="3" t="n">
        <v>1</v>
      </c>
      <c r="N138" s="3" t="n">
        <v>50</v>
      </c>
      <c r="O138" s="3" t="s">
        <v>31</v>
      </c>
      <c r="P138" s="3" t="s">
        <v>40</v>
      </c>
      <c r="Q138" s="3" t="n">
        <v>8</v>
      </c>
      <c r="R138" s="3" t="n">
        <v>2</v>
      </c>
      <c r="S138" s="3" t="s">
        <v>33</v>
      </c>
      <c r="T138" s="6" t="n">
        <v>11.46</v>
      </c>
      <c r="U138" s="3" t="s">
        <v>31</v>
      </c>
      <c r="V138" s="3" t="str">
        <f aca="false">IF((10-Q138)+(10-R138)+IF(O138="Yes",3,0)+IF(S138="No",2,0)&gt;=14,"High",IF((10-Q138)+(10-R138)+IF(O138="Yes",3,0)+IF(S138="No",2,0)&gt;=8,"Medium","Low"))</f>
        <v>High</v>
      </c>
    </row>
    <row r="139" customFormat="false" ht="15" hidden="false" customHeight="false" outlineLevel="0" collapsed="false">
      <c r="A139" s="3" t="s">
        <v>333</v>
      </c>
      <c r="B139" s="3" t="s">
        <v>334</v>
      </c>
      <c r="C139" s="3" t="n">
        <v>26</v>
      </c>
      <c r="D139" s="3" t="s">
        <v>43</v>
      </c>
      <c r="E139" s="3" t="s">
        <v>55</v>
      </c>
      <c r="F139" s="3" t="s">
        <v>107</v>
      </c>
      <c r="G139" s="3" t="s">
        <v>77</v>
      </c>
      <c r="H139" s="3" t="s">
        <v>52</v>
      </c>
      <c r="I139" s="3" t="s">
        <v>30</v>
      </c>
      <c r="J139" s="4" t="n">
        <v>45580</v>
      </c>
      <c r="K139" s="3" t="n">
        <f aca="false">ROUND(($X$2-J139)/365,1)</f>
        <v>1.2</v>
      </c>
      <c r="L139" s="5" t="n">
        <v>96606.27</v>
      </c>
      <c r="M139" s="3" t="n">
        <v>5</v>
      </c>
      <c r="N139" s="3" t="n">
        <v>60</v>
      </c>
      <c r="O139" s="3" t="s">
        <v>33</v>
      </c>
      <c r="P139" s="3" t="s">
        <v>40</v>
      </c>
      <c r="Q139" s="3" t="n">
        <v>8</v>
      </c>
      <c r="R139" s="3" t="n">
        <v>7</v>
      </c>
      <c r="S139" s="3" t="s">
        <v>31</v>
      </c>
      <c r="T139" s="6" t="n">
        <v>7.69</v>
      </c>
      <c r="U139" s="3" t="s">
        <v>33</v>
      </c>
      <c r="V139" s="3" t="str">
        <f aca="false">IF((10-Q139)+(10-R139)+IF(O139="Yes",3,0)+IF(S139="No",2,0)&gt;=14,"High",IF((10-Q139)+(10-R139)+IF(O139="Yes",3,0)+IF(S139="No",2,0)&gt;=8,"Medium","Low"))</f>
        <v>Low</v>
      </c>
    </row>
    <row r="140" customFormat="false" ht="15" hidden="false" customHeight="false" outlineLevel="0" collapsed="false">
      <c r="A140" s="3" t="s">
        <v>335</v>
      </c>
      <c r="B140" s="3" t="s">
        <v>336</v>
      </c>
      <c r="C140" s="3" t="n">
        <v>51</v>
      </c>
      <c r="D140" s="3" t="s">
        <v>43</v>
      </c>
      <c r="E140" s="3" t="s">
        <v>36</v>
      </c>
      <c r="F140" s="3" t="s">
        <v>165</v>
      </c>
      <c r="G140" s="3" t="s">
        <v>28</v>
      </c>
      <c r="H140" s="3" t="s">
        <v>29</v>
      </c>
      <c r="I140" s="3" t="s">
        <v>66</v>
      </c>
      <c r="J140" s="4" t="n">
        <v>45582</v>
      </c>
      <c r="K140" s="3" t="n">
        <f aca="false">ROUND(($X$2-J140)/365,1)</f>
        <v>1.2</v>
      </c>
      <c r="L140" s="5" t="n">
        <v>184656.01</v>
      </c>
      <c r="M140" s="3" t="n">
        <v>5</v>
      </c>
      <c r="N140" s="3" t="n">
        <v>0</v>
      </c>
      <c r="O140" s="3" t="s">
        <v>33</v>
      </c>
      <c r="P140" s="3" t="s">
        <v>40</v>
      </c>
      <c r="Q140" s="3" t="n">
        <v>3</v>
      </c>
      <c r="R140" s="3" t="n">
        <v>8</v>
      </c>
      <c r="S140" s="3" t="s">
        <v>33</v>
      </c>
      <c r="T140" s="6" t="n">
        <v>6.58</v>
      </c>
      <c r="U140" s="3" t="s">
        <v>31</v>
      </c>
      <c r="V140" s="3" t="str">
        <f aca="false">IF((10-Q140)+(10-R140)+IF(O140="Yes",3,0)+IF(S140="No",2,0)&gt;=14,"High",IF((10-Q140)+(10-R140)+IF(O140="Yes",3,0)+IF(S140="No",2,0)&gt;=8,"Medium","Low"))</f>
        <v>Medium</v>
      </c>
    </row>
    <row r="141" customFormat="false" ht="15" hidden="false" customHeight="false" outlineLevel="0" collapsed="false">
      <c r="A141" s="3" t="s">
        <v>337</v>
      </c>
      <c r="B141" s="3" t="s">
        <v>338</v>
      </c>
      <c r="C141" s="3" t="n">
        <v>39</v>
      </c>
      <c r="D141" s="3" t="s">
        <v>25</v>
      </c>
      <c r="E141" s="3" t="s">
        <v>26</v>
      </c>
      <c r="F141" s="3" t="s">
        <v>174</v>
      </c>
      <c r="G141" s="3" t="s">
        <v>46</v>
      </c>
      <c r="H141" s="3" t="s">
        <v>29</v>
      </c>
      <c r="I141" s="3" t="s">
        <v>66</v>
      </c>
      <c r="J141" s="4" t="n">
        <v>45613</v>
      </c>
      <c r="K141" s="3" t="n">
        <f aca="false">ROUND(($X$2-J141)/365,1)</f>
        <v>1.1</v>
      </c>
      <c r="L141" s="5" t="n">
        <v>113258.48</v>
      </c>
      <c r="M141" s="3" t="n">
        <v>5</v>
      </c>
      <c r="N141" s="3" t="n">
        <v>47</v>
      </c>
      <c r="O141" s="3" t="s">
        <v>31</v>
      </c>
      <c r="P141" s="3" t="s">
        <v>32</v>
      </c>
      <c r="Q141" s="3" t="n">
        <v>6</v>
      </c>
      <c r="R141" s="3" t="n">
        <v>1</v>
      </c>
      <c r="S141" s="3" t="s">
        <v>31</v>
      </c>
      <c r="T141" s="6" t="n">
        <v>3.56</v>
      </c>
      <c r="U141" s="3" t="s">
        <v>33</v>
      </c>
      <c r="V141" s="3" t="str">
        <f aca="false">IF((10-Q141)+(10-R141)+IF(O141="Yes",3,0)+IF(S141="No",2,0)&gt;=14,"High",IF((10-Q141)+(10-R141)+IF(O141="Yes",3,0)+IF(S141="No",2,0)&gt;=8,"Medium","Low"))</f>
        <v>High</v>
      </c>
    </row>
    <row r="142" customFormat="false" ht="15" hidden="false" customHeight="false" outlineLevel="0" collapsed="false">
      <c r="A142" s="3" t="s">
        <v>339</v>
      </c>
      <c r="B142" s="3" t="s">
        <v>340</v>
      </c>
      <c r="C142" s="3" t="n">
        <v>49</v>
      </c>
      <c r="D142" s="3" t="s">
        <v>25</v>
      </c>
      <c r="E142" s="3" t="s">
        <v>26</v>
      </c>
      <c r="F142" s="3" t="s">
        <v>174</v>
      </c>
      <c r="G142" s="3" t="s">
        <v>46</v>
      </c>
      <c r="H142" s="3" t="s">
        <v>38</v>
      </c>
      <c r="I142" s="3" t="s">
        <v>97</v>
      </c>
      <c r="J142" s="4" t="n">
        <v>45635</v>
      </c>
      <c r="K142" s="3" t="n">
        <f aca="false">ROUND(($X$2-J142)/365,1)</f>
        <v>1.1</v>
      </c>
      <c r="L142" s="5" t="n">
        <v>67118.11</v>
      </c>
      <c r="M142" s="3" t="n">
        <v>3</v>
      </c>
      <c r="N142" s="3" t="n">
        <v>15</v>
      </c>
      <c r="O142" s="3" t="s">
        <v>31</v>
      </c>
      <c r="P142" s="3" t="s">
        <v>32</v>
      </c>
      <c r="Q142" s="3" t="n">
        <v>2</v>
      </c>
      <c r="R142" s="3" t="n">
        <v>1</v>
      </c>
      <c r="S142" s="3" t="s">
        <v>31</v>
      </c>
      <c r="T142" s="6" t="n">
        <v>6.32</v>
      </c>
      <c r="U142" s="3" t="s">
        <v>33</v>
      </c>
      <c r="V142" s="3" t="str">
        <f aca="false">IF((10-Q142)+(10-R142)+IF(O142="Yes",3,0)+IF(S142="No",2,0)&gt;=14,"High",IF((10-Q142)+(10-R142)+IF(O142="Yes",3,0)+IF(S142="No",2,0)&gt;=8,"Medium","Low"))</f>
        <v>High</v>
      </c>
    </row>
    <row r="143" customFormat="false" ht="15" hidden="false" customHeight="false" outlineLevel="0" collapsed="false">
      <c r="A143" s="3" t="s">
        <v>341</v>
      </c>
      <c r="B143" s="3" t="s">
        <v>342</v>
      </c>
      <c r="C143" s="3" t="n">
        <v>48</v>
      </c>
      <c r="D143" s="3" t="s">
        <v>25</v>
      </c>
      <c r="E143" s="3" t="s">
        <v>73</v>
      </c>
      <c r="F143" s="3" t="s">
        <v>92</v>
      </c>
      <c r="G143" s="3" t="s">
        <v>60</v>
      </c>
      <c r="H143" s="3" t="s">
        <v>29</v>
      </c>
      <c r="I143" s="3" t="s">
        <v>97</v>
      </c>
      <c r="J143" s="4" t="n">
        <v>45677</v>
      </c>
      <c r="K143" s="3" t="n">
        <f aca="false">ROUND(($X$2-J143)/365,1)</f>
        <v>0.9</v>
      </c>
      <c r="L143" s="5" t="n">
        <v>172580.78</v>
      </c>
      <c r="M143" s="3" t="n">
        <v>3</v>
      </c>
      <c r="N143" s="3" t="n">
        <v>48</v>
      </c>
      <c r="O143" s="3" t="s">
        <v>33</v>
      </c>
      <c r="P143" s="3" t="s">
        <v>40</v>
      </c>
      <c r="Q143" s="3" t="n">
        <v>1</v>
      </c>
      <c r="R143" s="3" t="n">
        <v>1</v>
      </c>
      <c r="S143" s="3" t="s">
        <v>33</v>
      </c>
      <c r="T143" s="6" t="n">
        <v>8.75</v>
      </c>
      <c r="U143" s="3" t="s">
        <v>31</v>
      </c>
      <c r="V143" s="3" t="str">
        <f aca="false">IF((10-Q143)+(10-R143)+IF(O143="Yes",3,0)+IF(S143="No",2,0)&gt;=14,"High",IF((10-Q143)+(10-R143)+IF(O143="Yes",3,0)+IF(S143="No",2,0)&gt;=8,"Medium","Low"))</f>
        <v>High</v>
      </c>
    </row>
    <row r="144" customFormat="false" ht="15" hidden="false" customHeight="false" outlineLevel="0" collapsed="false">
      <c r="A144" s="3" t="s">
        <v>343</v>
      </c>
      <c r="B144" s="3" t="s">
        <v>344</v>
      </c>
      <c r="C144" s="3" t="n">
        <v>27</v>
      </c>
      <c r="D144" s="3" t="s">
        <v>43</v>
      </c>
      <c r="E144" s="3" t="s">
        <v>44</v>
      </c>
      <c r="F144" s="3" t="s">
        <v>45</v>
      </c>
      <c r="G144" s="3" t="s">
        <v>60</v>
      </c>
      <c r="H144" s="3" t="s">
        <v>29</v>
      </c>
      <c r="I144" s="3" t="s">
        <v>116</v>
      </c>
      <c r="J144" s="4" t="n">
        <v>45685</v>
      </c>
      <c r="K144" s="3" t="n">
        <f aca="false">ROUND(($X$2-J144)/365,1)</f>
        <v>0.9</v>
      </c>
      <c r="L144" s="5" t="n">
        <v>139704.63</v>
      </c>
      <c r="M144" s="3" t="n">
        <v>2</v>
      </c>
      <c r="N144" s="3" t="n">
        <v>9</v>
      </c>
      <c r="O144" s="3" t="s">
        <v>31</v>
      </c>
      <c r="P144" s="3" t="s">
        <v>32</v>
      </c>
      <c r="Q144" s="3" t="n">
        <v>8</v>
      </c>
      <c r="R144" s="3" t="n">
        <v>4</v>
      </c>
      <c r="S144" s="3" t="s">
        <v>33</v>
      </c>
      <c r="T144" s="6" t="n">
        <v>3.29</v>
      </c>
      <c r="U144" s="3" t="s">
        <v>33</v>
      </c>
      <c r="V144" s="3" t="str">
        <f aca="false">IF((10-Q144)+(10-R144)+IF(O144="Yes",3,0)+IF(S144="No",2,0)&gt;=14,"High",IF((10-Q144)+(10-R144)+IF(O144="Yes",3,0)+IF(S144="No",2,0)&gt;=8,"Medium","Low"))</f>
        <v>Medium</v>
      </c>
    </row>
    <row r="145" customFormat="false" ht="15" hidden="false" customHeight="false" outlineLevel="0" collapsed="false">
      <c r="A145" s="3" t="s">
        <v>345</v>
      </c>
      <c r="B145" s="3" t="s">
        <v>146</v>
      </c>
      <c r="C145" s="3" t="n">
        <v>50</v>
      </c>
      <c r="D145" s="3" t="s">
        <v>43</v>
      </c>
      <c r="E145" s="3" t="s">
        <v>64</v>
      </c>
      <c r="F145" s="3" t="s">
        <v>65</v>
      </c>
      <c r="G145" s="3" t="s">
        <v>28</v>
      </c>
      <c r="H145" s="3" t="s">
        <v>29</v>
      </c>
      <c r="I145" s="3" t="s">
        <v>61</v>
      </c>
      <c r="J145" s="4" t="n">
        <v>45704</v>
      </c>
      <c r="K145" s="3" t="n">
        <f aca="false">ROUND(($X$2-J145)/365,1)</f>
        <v>0.9</v>
      </c>
      <c r="L145" s="5" t="n">
        <v>177320.9</v>
      </c>
      <c r="M145" s="3" t="n">
        <v>2</v>
      </c>
      <c r="N145" s="3" t="n">
        <v>22</v>
      </c>
      <c r="O145" s="3" t="s">
        <v>33</v>
      </c>
      <c r="P145" s="3" t="s">
        <v>40</v>
      </c>
      <c r="Q145" s="3" t="n">
        <v>8</v>
      </c>
      <c r="R145" s="3" t="n">
        <v>9</v>
      </c>
      <c r="S145" s="3" t="s">
        <v>31</v>
      </c>
      <c r="T145" s="6" t="n">
        <v>6.59</v>
      </c>
      <c r="U145" s="3" t="s">
        <v>33</v>
      </c>
      <c r="V145" s="3" t="str">
        <f aca="false">IF((10-Q145)+(10-R145)+IF(O145="Yes",3,0)+IF(S145="No",2,0)&gt;=14,"High",IF((10-Q145)+(10-R145)+IF(O145="Yes",3,0)+IF(S145="No",2,0)&gt;=8,"Medium","Low"))</f>
        <v>Low</v>
      </c>
    </row>
    <row r="146" customFormat="false" ht="15" hidden="false" customHeight="false" outlineLevel="0" collapsed="false">
      <c r="A146" s="3" t="s">
        <v>346</v>
      </c>
      <c r="B146" s="3" t="s">
        <v>347</v>
      </c>
      <c r="C146" s="3" t="n">
        <v>58</v>
      </c>
      <c r="D146" s="3" t="s">
        <v>25</v>
      </c>
      <c r="E146" s="3" t="s">
        <v>26</v>
      </c>
      <c r="F146" s="3" t="s">
        <v>110</v>
      </c>
      <c r="G146" s="3" t="s">
        <v>77</v>
      </c>
      <c r="H146" s="3" t="s">
        <v>38</v>
      </c>
      <c r="I146" s="3" t="s">
        <v>116</v>
      </c>
      <c r="J146" s="4" t="n">
        <v>45724</v>
      </c>
      <c r="K146" s="3" t="n">
        <f aca="false">ROUND(($X$2-J146)/365,1)</f>
        <v>0.8</v>
      </c>
      <c r="L146" s="5" t="n">
        <v>95543.44</v>
      </c>
      <c r="M146" s="3" t="n">
        <v>4</v>
      </c>
      <c r="N146" s="3" t="n">
        <v>43</v>
      </c>
      <c r="O146" s="3" t="s">
        <v>33</v>
      </c>
      <c r="P146" s="3" t="s">
        <v>40</v>
      </c>
      <c r="Q146" s="3" t="n">
        <v>10</v>
      </c>
      <c r="R146" s="3" t="n">
        <v>3</v>
      </c>
      <c r="S146" s="3" t="s">
        <v>33</v>
      </c>
      <c r="T146" s="6" t="n">
        <v>2.88</v>
      </c>
      <c r="U146" s="3" t="s">
        <v>33</v>
      </c>
      <c r="V146" s="3" t="str">
        <f aca="false">IF((10-Q146)+(10-R146)+IF(O146="Yes",3,0)+IF(S146="No",2,0)&gt;=14,"High",IF((10-Q146)+(10-R146)+IF(O146="Yes",3,0)+IF(S146="No",2,0)&gt;=8,"Medium","Low"))</f>
        <v>Medium</v>
      </c>
    </row>
    <row r="147" customFormat="false" ht="15" hidden="false" customHeight="false" outlineLevel="0" collapsed="false">
      <c r="A147" s="3" t="s">
        <v>348</v>
      </c>
      <c r="B147" s="3" t="s">
        <v>349</v>
      </c>
      <c r="C147" s="3" t="n">
        <v>37</v>
      </c>
      <c r="D147" s="3" t="s">
        <v>25</v>
      </c>
      <c r="E147" s="3" t="s">
        <v>36</v>
      </c>
      <c r="F147" s="3" t="s">
        <v>165</v>
      </c>
      <c r="G147" s="3" t="s">
        <v>28</v>
      </c>
      <c r="H147" s="3" t="s">
        <v>52</v>
      </c>
      <c r="I147" s="3" t="s">
        <v>66</v>
      </c>
      <c r="J147" s="4" t="n">
        <v>45732</v>
      </c>
      <c r="K147" s="3" t="n">
        <f aca="false">ROUND(($X$2-J147)/365,1)</f>
        <v>0.8</v>
      </c>
      <c r="L147" s="5" t="n">
        <v>110528.18</v>
      </c>
      <c r="M147" s="3" t="n">
        <v>5</v>
      </c>
      <c r="N147" s="3" t="n">
        <v>19</v>
      </c>
      <c r="O147" s="3" t="s">
        <v>33</v>
      </c>
      <c r="P147" s="3" t="s">
        <v>67</v>
      </c>
      <c r="Q147" s="3" t="n">
        <v>6</v>
      </c>
      <c r="R147" s="3" t="n">
        <v>9</v>
      </c>
      <c r="S147" s="3" t="s">
        <v>31</v>
      </c>
      <c r="T147" s="6" t="n">
        <v>5.35</v>
      </c>
      <c r="U147" s="3" t="s">
        <v>33</v>
      </c>
      <c r="V147" s="3" t="str">
        <f aca="false">IF((10-Q147)+(10-R147)+IF(O147="Yes",3,0)+IF(S147="No",2,0)&gt;=14,"High",IF((10-Q147)+(10-R147)+IF(O147="Yes",3,0)+IF(S147="No",2,0)&gt;=8,"Medium","Low"))</f>
        <v>Low</v>
      </c>
    </row>
    <row r="148" customFormat="false" ht="15" hidden="false" customHeight="false" outlineLevel="0" collapsed="false">
      <c r="A148" s="3" t="s">
        <v>350</v>
      </c>
      <c r="B148" s="3" t="s">
        <v>351</v>
      </c>
      <c r="C148" s="3" t="n">
        <v>25</v>
      </c>
      <c r="D148" s="3" t="s">
        <v>25</v>
      </c>
      <c r="E148" s="3" t="s">
        <v>50</v>
      </c>
      <c r="F148" s="3" t="s">
        <v>51</v>
      </c>
      <c r="G148" s="3" t="s">
        <v>60</v>
      </c>
      <c r="H148" s="3" t="s">
        <v>52</v>
      </c>
      <c r="I148" s="3" t="s">
        <v>81</v>
      </c>
      <c r="J148" s="4" t="n">
        <v>45750</v>
      </c>
      <c r="K148" s="3" t="n">
        <f aca="false">ROUND(($X$2-J148)/365,1)</f>
        <v>0.7</v>
      </c>
      <c r="L148" s="5" t="n">
        <v>140811.26</v>
      </c>
      <c r="M148" s="3" t="n">
        <v>5</v>
      </c>
      <c r="N148" s="3" t="n">
        <v>22</v>
      </c>
      <c r="O148" s="3" t="s">
        <v>33</v>
      </c>
      <c r="P148" s="3" t="s">
        <v>32</v>
      </c>
      <c r="Q148" s="3" t="n">
        <v>9</v>
      </c>
      <c r="R148" s="3" t="n">
        <v>2</v>
      </c>
      <c r="S148" s="3" t="s">
        <v>31</v>
      </c>
      <c r="T148" s="6" t="n">
        <v>4.68</v>
      </c>
      <c r="U148" s="3" t="s">
        <v>33</v>
      </c>
      <c r="V148" s="3" t="str">
        <f aca="false">IF((10-Q148)+(10-R148)+IF(O148="Yes",3,0)+IF(S148="No",2,0)&gt;=14,"High",IF((10-Q148)+(10-R148)+IF(O148="Yes",3,0)+IF(S148="No",2,0)&gt;=8,"Medium","Low"))</f>
        <v>Medium</v>
      </c>
    </row>
    <row r="149" customFormat="false" ht="15" hidden="false" customHeight="false" outlineLevel="0" collapsed="false">
      <c r="A149" s="3" t="s">
        <v>352</v>
      </c>
      <c r="B149" s="3" t="s">
        <v>353</v>
      </c>
      <c r="C149" s="3" t="n">
        <v>34</v>
      </c>
      <c r="D149" s="3" t="s">
        <v>25</v>
      </c>
      <c r="E149" s="3" t="s">
        <v>50</v>
      </c>
      <c r="F149" s="3" t="s">
        <v>80</v>
      </c>
      <c r="G149" s="3" t="s">
        <v>77</v>
      </c>
      <c r="H149" s="3" t="s">
        <v>29</v>
      </c>
      <c r="I149" s="3" t="s">
        <v>66</v>
      </c>
      <c r="J149" s="4" t="n">
        <v>45766</v>
      </c>
      <c r="K149" s="3" t="n">
        <f aca="false">ROUND(($X$2-J149)/365,1)</f>
        <v>0.7</v>
      </c>
      <c r="L149" s="5" t="n">
        <v>183413.4</v>
      </c>
      <c r="M149" s="3" t="n">
        <v>2</v>
      </c>
      <c r="N149" s="3" t="n">
        <v>14</v>
      </c>
      <c r="O149" s="3" t="s">
        <v>33</v>
      </c>
      <c r="P149" s="3" t="s">
        <v>32</v>
      </c>
      <c r="Q149" s="3" t="n">
        <v>2</v>
      </c>
      <c r="R149" s="3" t="n">
        <v>10</v>
      </c>
      <c r="S149" s="3" t="s">
        <v>31</v>
      </c>
      <c r="T149" s="6" t="n">
        <v>0.4</v>
      </c>
      <c r="U149" s="3" t="s">
        <v>31</v>
      </c>
      <c r="V149" s="3" t="str">
        <f aca="false">IF((10-Q149)+(10-R149)+IF(O149="Yes",3,0)+IF(S149="No",2,0)&gt;=14,"High",IF((10-Q149)+(10-R149)+IF(O149="Yes",3,0)+IF(S149="No",2,0)&gt;=8,"Medium","Low"))</f>
        <v>Medium</v>
      </c>
    </row>
    <row r="150" customFormat="false" ht="15" hidden="false" customHeight="false" outlineLevel="0" collapsed="false">
      <c r="A150" s="3" t="s">
        <v>354</v>
      </c>
      <c r="B150" s="3" t="s">
        <v>355</v>
      </c>
      <c r="C150" s="3" t="n">
        <v>24</v>
      </c>
      <c r="D150" s="3" t="s">
        <v>43</v>
      </c>
      <c r="E150" s="3" t="s">
        <v>55</v>
      </c>
      <c r="F150" s="3" t="s">
        <v>107</v>
      </c>
      <c r="G150" s="3" t="s">
        <v>46</v>
      </c>
      <c r="H150" s="3" t="s">
        <v>29</v>
      </c>
      <c r="I150" s="3" t="s">
        <v>39</v>
      </c>
      <c r="J150" s="4" t="n">
        <v>45794</v>
      </c>
      <c r="K150" s="3" t="n">
        <f aca="false">ROUND(($X$2-J150)/365,1)</f>
        <v>0.6</v>
      </c>
      <c r="L150" s="5" t="n">
        <v>48721.81</v>
      </c>
      <c r="M150" s="3" t="n">
        <v>5</v>
      </c>
      <c r="N150" s="3" t="n">
        <v>48</v>
      </c>
      <c r="O150" s="3" t="s">
        <v>33</v>
      </c>
      <c r="P150" s="3" t="s">
        <v>67</v>
      </c>
      <c r="Q150" s="3" t="n">
        <v>2</v>
      </c>
      <c r="R150" s="3" t="n">
        <v>8</v>
      </c>
      <c r="S150" s="3" t="s">
        <v>33</v>
      </c>
      <c r="T150" s="6" t="n">
        <v>5.76</v>
      </c>
      <c r="U150" s="3" t="s">
        <v>31</v>
      </c>
      <c r="V150" s="3" t="str">
        <f aca="false">IF((10-Q150)+(10-R150)+IF(O150="Yes",3,0)+IF(S150="No",2,0)&gt;=14,"High",IF((10-Q150)+(10-R150)+IF(O150="Yes",3,0)+IF(S150="No",2,0)&gt;=8,"Medium","Low"))</f>
        <v>Medium</v>
      </c>
    </row>
    <row r="151" customFormat="false" ht="15" hidden="false" customHeight="false" outlineLevel="0" collapsed="false">
      <c r="A151" s="3" t="s">
        <v>356</v>
      </c>
      <c r="B151" s="3" t="s">
        <v>357</v>
      </c>
      <c r="C151" s="3" t="n">
        <v>36</v>
      </c>
      <c r="D151" s="3" t="s">
        <v>25</v>
      </c>
      <c r="E151" s="3" t="s">
        <v>55</v>
      </c>
      <c r="F151" s="3" t="s">
        <v>107</v>
      </c>
      <c r="G151" s="3" t="s">
        <v>46</v>
      </c>
      <c r="H151" s="3" t="s">
        <v>29</v>
      </c>
      <c r="I151" s="3" t="s">
        <v>116</v>
      </c>
      <c r="J151" s="4" t="n">
        <v>45829</v>
      </c>
      <c r="K151" s="3" t="n">
        <f aca="false">ROUND(($X$2-J151)/365,1)</f>
        <v>0.5</v>
      </c>
      <c r="L151" s="5" t="n">
        <v>117096.41</v>
      </c>
      <c r="M151" s="3" t="n">
        <v>4</v>
      </c>
      <c r="N151" s="3" t="n">
        <v>4</v>
      </c>
      <c r="O151" s="3" t="s">
        <v>31</v>
      </c>
      <c r="P151" s="3" t="s">
        <v>32</v>
      </c>
      <c r="Q151" s="3" t="n">
        <v>1</v>
      </c>
      <c r="R151" s="3" t="n">
        <v>6</v>
      </c>
      <c r="S151" s="3" t="s">
        <v>33</v>
      </c>
      <c r="T151" s="6" t="n">
        <v>7.68</v>
      </c>
      <c r="U151" s="3" t="s">
        <v>31</v>
      </c>
      <c r="V151" s="3" t="str">
        <f aca="false">IF((10-Q151)+(10-R151)+IF(O151="Yes",3,0)+IF(S151="No",2,0)&gt;=14,"High",IF((10-Q151)+(10-R151)+IF(O151="Yes",3,0)+IF(S151="No",2,0)&gt;=8,"Medium","Low"))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8" t="s">
        <v>358</v>
      </c>
      <c r="B1" s="8" t="s">
        <v>359</v>
      </c>
    </row>
    <row r="2" customFormat="false" ht="15" hidden="false" customHeight="false" outlineLevel="0" collapsed="false">
      <c r="A2" s="3" t="s">
        <v>360</v>
      </c>
      <c r="B2" s="9" t="n">
        <f aca="false">COUNTA(HR_Data!A2:A151)</f>
        <v>150</v>
      </c>
    </row>
    <row r="3" customFormat="false" ht="15" hidden="false" customHeight="false" outlineLevel="0" collapsed="false">
      <c r="A3" s="3" t="s">
        <v>361</v>
      </c>
      <c r="B3" s="9" t="n">
        <f aca="false">COUNTIF(HR_Data!U2:U151,"Yes")</f>
        <v>63</v>
      </c>
    </row>
    <row r="4" customFormat="false" ht="15" hidden="false" customHeight="false" outlineLevel="0" collapsed="false">
      <c r="A4" s="3" t="s">
        <v>362</v>
      </c>
      <c r="B4" s="10" t="n">
        <f aca="false">COUNTIF(HR_Data!U2:U151,"Yes")/COUNTA(HR_Data!A2:A151)</f>
        <v>0.42</v>
      </c>
    </row>
    <row r="5" customFormat="false" ht="15" hidden="false" customHeight="false" outlineLevel="0" collapsed="false">
      <c r="A5" s="3" t="s">
        <v>363</v>
      </c>
      <c r="B5" s="5" t="n">
        <f aca="false">AVERAGE(HR_Data!L2:L151)</f>
        <v>101826.398333333</v>
      </c>
    </row>
    <row r="6" customFormat="false" ht="15" hidden="false" customHeight="false" outlineLevel="0" collapsed="false">
      <c r="A6" s="3" t="s">
        <v>364</v>
      </c>
      <c r="B6" s="11" t="n">
        <f aca="false">AVERAGE(HR_Data!Q2:Q151)</f>
        <v>5.88</v>
      </c>
    </row>
    <row r="7" customFormat="false" ht="15" hidden="false" customHeight="false" outlineLevel="0" collapsed="false">
      <c r="A7" s="3" t="s">
        <v>365</v>
      </c>
      <c r="B7" s="11" t="n">
        <f aca="false">AVERAGE(HR_Data!R2:R151)</f>
        <v>5.40666666666667</v>
      </c>
    </row>
    <row r="8" customFormat="false" ht="15" hidden="false" customHeight="false" outlineLevel="0" collapsed="false">
      <c r="A8" s="3" t="s">
        <v>366</v>
      </c>
      <c r="B8" s="9" t="n">
        <f aca="false">COUNTIF(HR_Data!O2:O151,"Yes")</f>
        <v>80</v>
      </c>
    </row>
    <row r="9" customFormat="false" ht="15" hidden="false" customHeight="false" outlineLevel="0" collapsed="false">
      <c r="A9" s="3" t="s">
        <v>367</v>
      </c>
      <c r="B9" s="9" t="n">
        <f aca="false">COUNTIF(HR_Data!V2:V151,"High")</f>
        <v>47</v>
      </c>
    </row>
    <row r="10" customFormat="false" ht="15" hidden="false" customHeight="false" outlineLevel="0" collapsed="false">
      <c r="A10" s="3" t="s">
        <v>368</v>
      </c>
      <c r="B10" s="11" t="n">
        <f aca="false">AVERAGE(HR_Data!K2:K151)</f>
        <v>4.48333333333333</v>
      </c>
    </row>
    <row r="11" customFormat="false" ht="15" hidden="false" customHeight="false" outlineLevel="0" collapsed="false">
      <c r="A11" s="3" t="s">
        <v>369</v>
      </c>
      <c r="B11" s="6" t="n">
        <f aca="false">AVERAGE(HR_Data!T2:T151)</f>
        <v>7.25586666666667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2026-09-03T08:15:53Z</dcterms:created>
  <dc:creator>openpyxl</dc:creator>
  <dc:description/>
  <dc:language>en-US</dc:language>
  <cp:lastModifiedBy/>
  <dcterms:modified xsi:type="dcterms:W3CDTF">2026-09-03T08:15:53Z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